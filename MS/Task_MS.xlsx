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aziz\Downloads\"/>
    </mc:Choice>
  </mc:AlternateContent>
  <xr:revisionPtr revIDLastSave="0" documentId="8_{8FBC8B2D-3AC8-438A-95D7-F9D95B3F60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Условие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</sheets>
  <externalReferences>
    <externalReference r:id="rId18"/>
  </externalReferences>
  <definedNames>
    <definedName name="Вес">Условие!$C$2:$C$201</definedName>
    <definedName name="Курс">'[1]1'!$B$9:$B$58</definedName>
    <definedName name="Рост">Условие!$B$2:$B$201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9" l="1"/>
  <c r="K10" i="9"/>
  <c r="K6" i="9"/>
  <c r="K5" i="9"/>
  <c r="J20" i="8"/>
  <c r="P17" i="8" s="1"/>
  <c r="E5" i="13"/>
  <c r="R3" i="15" l="1"/>
  <c r="G14" i="17"/>
  <c r="I14" i="17"/>
  <c r="I12" i="17"/>
  <c r="I3" i="17"/>
  <c r="I2" i="17"/>
  <c r="E12" i="17"/>
  <c r="M14" i="17"/>
  <c r="M13" i="17"/>
  <c r="N9" i="17"/>
  <c r="L9" i="17"/>
  <c r="L8" i="17"/>
  <c r="N8" i="17"/>
  <c r="I11" i="17"/>
  <c r="I9" i="17"/>
  <c r="E13" i="17"/>
  <c r="F3" i="17"/>
  <c r="F2" i="17"/>
  <c r="E19" i="17"/>
  <c r="E18" i="17"/>
  <c r="E17" i="17"/>
  <c r="E16" i="17"/>
  <c r="E15" i="17"/>
  <c r="E14" i="17"/>
  <c r="E11" i="17"/>
  <c r="E10" i="17"/>
  <c r="E9" i="17"/>
  <c r="E8" i="17"/>
  <c r="C3" i="15" a="1"/>
  <c r="C3" i="15" s="1"/>
  <c r="C4" i="15" a="1"/>
  <c r="C4" i="15" s="1"/>
  <c r="H4" i="16"/>
  <c r="G4" i="16"/>
  <c r="Q3" i="15"/>
  <c r="O3" i="15"/>
  <c r="P3" i="15"/>
  <c r="C8" i="15"/>
  <c r="C7" i="15"/>
  <c r="B8" i="15"/>
  <c r="B7" i="15"/>
  <c r="C6" i="15"/>
  <c r="B6" i="15"/>
  <c r="Q18" i="11" l="1"/>
  <c r="Q19" i="11"/>
  <c r="Q20" i="11"/>
  <c r="Q21" i="11"/>
  <c r="Q22" i="11"/>
  <c r="Q23" i="11"/>
  <c r="Q24" i="11"/>
  <c r="Q25" i="11"/>
  <c r="Q26" i="11"/>
  <c r="Q17" i="11"/>
  <c r="P26" i="11"/>
  <c r="P25" i="11"/>
  <c r="P24" i="11"/>
  <c r="P23" i="11"/>
  <c r="P22" i="11"/>
  <c r="P21" i="11"/>
  <c r="P20" i="11"/>
  <c r="P19" i="11"/>
  <c r="P18" i="11"/>
  <c r="P17" i="11"/>
  <c r="P5" i="11"/>
  <c r="P6" i="11"/>
  <c r="P7" i="11"/>
  <c r="P8" i="11"/>
  <c r="P9" i="11"/>
  <c r="P10" i="11"/>
  <c r="P11" i="11"/>
  <c r="P12" i="11"/>
  <c r="P13" i="11"/>
  <c r="P4" i="11"/>
  <c r="O14" i="11"/>
  <c r="N14" i="11"/>
  <c r="M14" i="11"/>
  <c r="L14" i="11"/>
  <c r="K14" i="11"/>
  <c r="J14" i="11"/>
  <c r="I14" i="11"/>
  <c r="H14" i="11"/>
  <c r="G14" i="11"/>
  <c r="F14" i="11"/>
  <c r="G16" i="11"/>
  <c r="H16" i="11"/>
  <c r="I16" i="11"/>
  <c r="J16" i="11"/>
  <c r="K16" i="11"/>
  <c r="L16" i="11"/>
  <c r="M16" i="11"/>
  <c r="N16" i="11"/>
  <c r="O16" i="11"/>
  <c r="F16" i="11"/>
  <c r="E18" i="11"/>
  <c r="E19" i="11"/>
  <c r="E20" i="11"/>
  <c r="E21" i="11"/>
  <c r="E22" i="11"/>
  <c r="E23" i="11"/>
  <c r="E24" i="11"/>
  <c r="E25" i="11"/>
  <c r="E26" i="11"/>
  <c r="E17" i="11"/>
  <c r="E6" i="13"/>
  <c r="E7" i="12"/>
  <c r="E8" i="12"/>
  <c r="E9" i="12"/>
  <c r="E10" i="12"/>
  <c r="E11" i="12"/>
  <c r="E12" i="12"/>
  <c r="E13" i="12"/>
  <c r="E14" i="12"/>
  <c r="E6" i="12"/>
  <c r="F6" i="12"/>
  <c r="G6" i="12"/>
  <c r="H6" i="12"/>
  <c r="I6" i="12"/>
  <c r="J6" i="12"/>
  <c r="K6" i="12"/>
  <c r="L6" i="12"/>
  <c r="M6" i="12"/>
  <c r="N6" i="12"/>
  <c r="F7" i="12"/>
  <c r="G7" i="12"/>
  <c r="H7" i="12"/>
  <c r="I7" i="12"/>
  <c r="J7" i="12"/>
  <c r="K7" i="12"/>
  <c r="L7" i="12"/>
  <c r="M7" i="12"/>
  <c r="N7" i="12"/>
  <c r="F8" i="12"/>
  <c r="G8" i="12"/>
  <c r="H8" i="12"/>
  <c r="I8" i="12"/>
  <c r="J8" i="12"/>
  <c r="K8" i="12"/>
  <c r="L8" i="12"/>
  <c r="M8" i="12"/>
  <c r="N8" i="12"/>
  <c r="F9" i="12"/>
  <c r="G9" i="12"/>
  <c r="H9" i="12"/>
  <c r="I9" i="12"/>
  <c r="J9" i="12"/>
  <c r="K9" i="12"/>
  <c r="L9" i="12"/>
  <c r="M9" i="12"/>
  <c r="N9" i="12"/>
  <c r="F10" i="12"/>
  <c r="G10" i="12"/>
  <c r="H10" i="12"/>
  <c r="I10" i="12"/>
  <c r="J10" i="12"/>
  <c r="K10" i="12"/>
  <c r="L10" i="12"/>
  <c r="M10" i="12"/>
  <c r="N10" i="12"/>
  <c r="F11" i="12"/>
  <c r="G11" i="12"/>
  <c r="H11" i="12"/>
  <c r="I11" i="12"/>
  <c r="J11" i="12"/>
  <c r="K11" i="12"/>
  <c r="L11" i="12"/>
  <c r="M11" i="12"/>
  <c r="N11" i="12"/>
  <c r="F12" i="12"/>
  <c r="G12" i="12"/>
  <c r="H12" i="12"/>
  <c r="I12" i="12"/>
  <c r="J12" i="12"/>
  <c r="K12" i="12"/>
  <c r="L12" i="12"/>
  <c r="M12" i="12"/>
  <c r="N12" i="12"/>
  <c r="F13" i="12"/>
  <c r="G13" i="12"/>
  <c r="H13" i="12"/>
  <c r="I13" i="12"/>
  <c r="J13" i="12"/>
  <c r="K13" i="12"/>
  <c r="L13" i="12"/>
  <c r="M13" i="12"/>
  <c r="N13" i="12"/>
  <c r="F14" i="12"/>
  <c r="G14" i="12"/>
  <c r="H14" i="12"/>
  <c r="I14" i="12"/>
  <c r="J14" i="12"/>
  <c r="K14" i="12"/>
  <c r="L14" i="12"/>
  <c r="M14" i="12"/>
  <c r="N14" i="12"/>
  <c r="F5" i="12"/>
  <c r="G5" i="12"/>
  <c r="H5" i="12"/>
  <c r="I5" i="12"/>
  <c r="J5" i="12"/>
  <c r="K5" i="12"/>
  <c r="L5" i="12"/>
  <c r="M5" i="12"/>
  <c r="N5" i="12"/>
  <c r="E5" i="12"/>
  <c r="Q15" i="14"/>
  <c r="Q6" i="14"/>
  <c r="C23" i="14"/>
  <c r="C22" i="14"/>
  <c r="C21" i="14" l="1"/>
  <c r="C20" i="14"/>
  <c r="Q7" i="14"/>
  <c r="Q8" i="14"/>
  <c r="Q9" i="14"/>
  <c r="Q10" i="14"/>
  <c r="Q11" i="14"/>
  <c r="Q12" i="14"/>
  <c r="Q13" i="14"/>
  <c r="Q14" i="14"/>
  <c r="C24" i="14" l="1"/>
  <c r="C25" i="14" s="1"/>
  <c r="C26" i="14" s="1"/>
  <c r="C28" i="14"/>
  <c r="E37" i="12"/>
  <c r="Q22" i="12"/>
  <c r="Q30" i="12"/>
  <c r="P25" i="12"/>
  <c r="Q25" i="12" s="1"/>
  <c r="P26" i="12"/>
  <c r="Q26" i="12" s="1"/>
  <c r="P27" i="12"/>
  <c r="Q27" i="12" s="1"/>
  <c r="P28" i="12"/>
  <c r="Q28" i="12" s="1"/>
  <c r="P29" i="12"/>
  <c r="Q29" i="12" s="1"/>
  <c r="P30" i="12"/>
  <c r="P31" i="12"/>
  <c r="Q31" i="12" s="1"/>
  <c r="P32" i="12"/>
  <c r="Q32" i="12" s="1"/>
  <c r="P33" i="12"/>
  <c r="Q33" i="12" s="1"/>
  <c r="P24" i="12"/>
  <c r="E22" i="12"/>
  <c r="F22" i="12"/>
  <c r="G22" i="12"/>
  <c r="H22" i="12"/>
  <c r="I22" i="12"/>
  <c r="J22" i="12"/>
  <c r="K22" i="12"/>
  <c r="L22" i="12"/>
  <c r="M22" i="12"/>
  <c r="N22" i="12"/>
  <c r="Q24" i="12" l="1"/>
  <c r="G38" i="12" s="1"/>
  <c r="C3" i="13" s="1"/>
  <c r="E38" i="12"/>
  <c r="I38" i="12" s="1"/>
  <c r="F2" i="11" a="1"/>
  <c r="F2" i="11" s="1"/>
  <c r="K38" i="12" l="1"/>
  <c r="E3" i="13" s="1"/>
  <c r="D3" i="13"/>
  <c r="C25" i="12"/>
  <c r="C26" i="12"/>
  <c r="C27" i="12"/>
  <c r="C28" i="12"/>
  <c r="C29" i="12"/>
  <c r="C30" i="12"/>
  <c r="C31" i="12"/>
  <c r="C32" i="12"/>
  <c r="C33" i="12"/>
  <c r="C24" i="12"/>
  <c r="E3" i="12" a="1"/>
  <c r="E3" i="12" s="1"/>
  <c r="E4" i="12" a="1"/>
  <c r="E4" i="12" s="1"/>
  <c r="C5" i="12"/>
  <c r="D5" i="12"/>
  <c r="G15" i="12" s="1"/>
  <c r="F15" i="12"/>
  <c r="C6" i="12" a="1"/>
  <c r="C6" i="12"/>
  <c r="D6" i="12" a="1"/>
  <c r="D6" i="12"/>
  <c r="N15" i="12"/>
  <c r="M15" i="12"/>
  <c r="P23" i="12"/>
  <c r="O7" i="12" l="1"/>
  <c r="O12" i="12"/>
  <c r="O10" i="12"/>
  <c r="O13" i="12"/>
  <c r="O8" i="12"/>
  <c r="O11" i="12"/>
  <c r="O14" i="12"/>
  <c r="O9" i="12"/>
  <c r="L15" i="12"/>
  <c r="J15" i="12"/>
  <c r="I15" i="12"/>
  <c r="H15" i="12"/>
  <c r="K15" i="12" l="1"/>
  <c r="O6" i="12"/>
  <c r="O5" i="12"/>
  <c r="E15" i="12"/>
  <c r="D35" i="12" l="1"/>
  <c r="N17" i="8" l="1"/>
  <c r="Q14" i="8"/>
  <c r="Q8" i="8"/>
  <c r="Q9" i="8"/>
  <c r="Q10" i="8"/>
  <c r="Q11" i="8"/>
  <c r="Q12" i="8"/>
  <c r="Q13" i="8"/>
  <c r="Q7" i="8"/>
  <c r="P8" i="8" l="1"/>
  <c r="P7" i="8"/>
  <c r="P13" i="8"/>
  <c r="P5" i="8"/>
  <c r="P12" i="8"/>
  <c r="P11" i="8"/>
  <c r="P10" i="8"/>
  <c r="P9" i="8"/>
  <c r="O13" i="8"/>
  <c r="O12" i="8"/>
  <c r="O11" i="8"/>
  <c r="O10" i="8"/>
  <c r="O9" i="8"/>
  <c r="O8" i="8"/>
  <c r="O7" i="8"/>
  <c r="N13" i="8"/>
  <c r="N12" i="8"/>
  <c r="N11" i="8"/>
  <c r="N10" i="8"/>
  <c r="N9" i="8"/>
  <c r="N8" i="8"/>
  <c r="M13" i="8"/>
  <c r="M12" i="8"/>
  <c r="M11" i="8"/>
  <c r="M10" i="8"/>
  <c r="M9" i="8"/>
  <c r="M8" i="8"/>
  <c r="J16" i="8"/>
  <c r="J17" i="8"/>
  <c r="L13" i="8"/>
  <c r="J2" i="9"/>
  <c r="J6" i="9"/>
  <c r="J5" i="9"/>
  <c r="J3" i="9"/>
  <c r="D2" i="17" l="1" a="1"/>
  <c r="D2" i="17" s="1"/>
  <c r="F11" i="7" l="1"/>
  <c r="D11" i="7"/>
  <c r="B27" i="7"/>
  <c r="B26" i="7"/>
  <c r="F12" i="7" l="1"/>
  <c r="D12" i="7"/>
  <c r="F9" i="7"/>
  <c r="D9" i="7"/>
  <c r="D8" i="7"/>
  <c r="F8" i="7"/>
  <c r="D6" i="7"/>
  <c r="F6" i="7"/>
  <c r="D4" i="7"/>
  <c r="F4" i="7"/>
  <c r="C25" i="7"/>
  <c r="C24" i="7"/>
  <c r="C23" i="7"/>
  <c r="C22" i="7"/>
  <c r="C21" i="7"/>
  <c r="B19" i="7"/>
  <c r="B18" i="7"/>
  <c r="B17" i="7"/>
  <c r="B16" i="7"/>
  <c r="M7" i="6" l="1"/>
  <c r="M6" i="6"/>
  <c r="M5" i="6"/>
  <c r="M4" i="6"/>
  <c r="M3" i="6"/>
  <c r="M2" i="6"/>
  <c r="G7" i="6"/>
  <c r="G6" i="6"/>
  <c r="G5" i="6"/>
  <c r="G4" i="6"/>
  <c r="G3" i="6"/>
  <c r="G2" i="6"/>
  <c r="AG7" i="5"/>
  <c r="AG4" i="5"/>
  <c r="AG3" i="5"/>
  <c r="AG2" i="5"/>
  <c r="AC4" i="5"/>
  <c r="AC5" i="5"/>
  <c r="AC6" i="5"/>
  <c r="AC7" i="5"/>
  <c r="AC8" i="5"/>
  <c r="AC9" i="5"/>
  <c r="AC10" i="5"/>
  <c r="AC11" i="5"/>
  <c r="AC12" i="5"/>
  <c r="AC3" i="5"/>
  <c r="AB4" i="5"/>
  <c r="AB5" i="5"/>
  <c r="AB6" i="5"/>
  <c r="AB7" i="5"/>
  <c r="AB8" i="5"/>
  <c r="AB9" i="5"/>
  <c r="AB10" i="5"/>
  <c r="AB11" i="5"/>
  <c r="AB12" i="5"/>
  <c r="AB3" i="5"/>
  <c r="AA5" i="5"/>
  <c r="AA6" i="5"/>
  <c r="AA7" i="5"/>
  <c r="AA8" i="5"/>
  <c r="AA9" i="5"/>
  <c r="AA10" i="5"/>
  <c r="AA11" i="5"/>
  <c r="AA12" i="5"/>
  <c r="AA4" i="5"/>
  <c r="AA3" i="5"/>
  <c r="Z4" i="5"/>
  <c r="Z5" i="5"/>
  <c r="Z6" i="5"/>
  <c r="Z7" i="5"/>
  <c r="Z8" i="5"/>
  <c r="Z9" i="5"/>
  <c r="Z10" i="5"/>
  <c r="Z11" i="5"/>
  <c r="Z12" i="5"/>
  <c r="Z3" i="5"/>
  <c r="Y4" i="5"/>
  <c r="Y5" i="5"/>
  <c r="Y6" i="5"/>
  <c r="Y7" i="5"/>
  <c r="Y8" i="5"/>
  <c r="Y9" i="5"/>
  <c r="Y10" i="5"/>
  <c r="Y11" i="5"/>
  <c r="Y12" i="5"/>
  <c r="Y3" i="5"/>
  <c r="X3" i="5" a="1"/>
  <c r="X3" i="5" s="1"/>
  <c r="W4" i="5"/>
  <c r="W3" i="5"/>
  <c r="W16" i="5"/>
  <c r="V16" i="5"/>
  <c r="W17" i="5" s="1"/>
  <c r="W19" i="5" s="1"/>
  <c r="V3" i="5"/>
  <c r="V4" i="5" s="1"/>
  <c r="V5" i="5" s="1"/>
  <c r="Q7" i="5"/>
  <c r="Q6" i="5"/>
  <c r="Q5" i="5"/>
  <c r="Q4" i="5"/>
  <c r="Q3" i="5"/>
  <c r="Q2" i="5"/>
  <c r="M4" i="5"/>
  <c r="M5" i="5"/>
  <c r="M6" i="5"/>
  <c r="M7" i="5"/>
  <c r="M8" i="5"/>
  <c r="M9" i="5"/>
  <c r="M10" i="5"/>
  <c r="M11" i="5"/>
  <c r="M12" i="5"/>
  <c r="M3" i="5"/>
  <c r="L4" i="5"/>
  <c r="L5" i="5"/>
  <c r="L6" i="5"/>
  <c r="L7" i="5"/>
  <c r="L8" i="5"/>
  <c r="L9" i="5"/>
  <c r="L10" i="5"/>
  <c r="L11" i="5"/>
  <c r="L12" i="5"/>
  <c r="L3" i="5"/>
  <c r="G16" i="5"/>
  <c r="F16" i="5"/>
  <c r="G17" i="5" s="1"/>
  <c r="G19" i="5" s="1"/>
  <c r="F3" i="5"/>
  <c r="K5" i="4"/>
  <c r="K6" i="4"/>
  <c r="K7" i="4"/>
  <c r="K8" i="4"/>
  <c r="K9" i="4"/>
  <c r="K10" i="4"/>
  <c r="K11" i="4"/>
  <c r="K12" i="4"/>
  <c r="K4" i="4"/>
  <c r="K3" i="4"/>
  <c r="J4" i="4"/>
  <c r="J5" i="4"/>
  <c r="J6" i="4"/>
  <c r="J7" i="4"/>
  <c r="J8" i="4"/>
  <c r="J9" i="4"/>
  <c r="J10" i="4"/>
  <c r="J11" i="4"/>
  <c r="J12" i="4"/>
  <c r="I4" i="4"/>
  <c r="I5" i="4"/>
  <c r="I6" i="4"/>
  <c r="I7" i="4"/>
  <c r="I8" i="4"/>
  <c r="I9" i="4"/>
  <c r="I10" i="4"/>
  <c r="I11" i="4"/>
  <c r="I12" i="4"/>
  <c r="I3" i="4"/>
  <c r="H3" i="4" a="1"/>
  <c r="H3" i="4" s="1"/>
  <c r="J3" i="4" s="1"/>
  <c r="G16" i="4"/>
  <c r="F16" i="4"/>
  <c r="G17" i="4" s="1"/>
  <c r="G19" i="4" s="1"/>
  <c r="F3" i="4"/>
  <c r="G3" i="4" s="1"/>
  <c r="F4" i="4" s="1"/>
  <c r="G4" i="4" s="1"/>
  <c r="F5" i="4" s="1"/>
  <c r="G5" i="4" s="1"/>
  <c r="F6" i="4" s="1"/>
  <c r="G6" i="4" s="1"/>
  <c r="F7" i="4" s="1"/>
  <c r="G7" i="4" s="1"/>
  <c r="F8" i="4" s="1"/>
  <c r="G8" i="4" s="1"/>
  <c r="F9" i="4" s="1"/>
  <c r="G9" i="4" s="1"/>
  <c r="F10" i="4" s="1"/>
  <c r="G10" i="4" s="1"/>
  <c r="F11" i="4" s="1"/>
  <c r="G11" i="4" s="1"/>
  <c r="F12" i="4" s="1"/>
  <c r="G12" i="4" s="1"/>
  <c r="N4" i="3"/>
  <c r="M4" i="3"/>
  <c r="N3" i="3"/>
  <c r="M3" i="3"/>
  <c r="N19" i="3"/>
  <c r="N17" i="3"/>
  <c r="N16" i="3"/>
  <c r="M16" i="3"/>
  <c r="M5" i="3"/>
  <c r="N5" i="3" s="1"/>
  <c r="G4" i="3"/>
  <c r="G3" i="3"/>
  <c r="F4" i="3"/>
  <c r="F5" i="3" s="1"/>
  <c r="G19" i="3"/>
  <c r="G17" i="3"/>
  <c r="F16" i="3"/>
  <c r="AG6" i="5" l="1"/>
  <c r="AG5" i="5"/>
  <c r="W5" i="5"/>
  <c r="V6" i="5" s="1"/>
  <c r="G3" i="5"/>
  <c r="M6" i="3"/>
  <c r="G5" i="3"/>
  <c r="F6" i="3" s="1"/>
  <c r="W6" i="5" l="1"/>
  <c r="V7" i="5" s="1"/>
  <c r="F4" i="5"/>
  <c r="I3" i="5"/>
  <c r="N6" i="3"/>
  <c r="M7" i="3" s="1"/>
  <c r="G6" i="3"/>
  <c r="F7" i="3" s="1"/>
  <c r="W7" i="5" l="1"/>
  <c r="V8" i="5" s="1"/>
  <c r="G4" i="5"/>
  <c r="N7" i="3"/>
  <c r="M8" i="3" s="1"/>
  <c r="G7" i="3"/>
  <c r="F8" i="3" s="1"/>
  <c r="W8" i="5" l="1"/>
  <c r="V9" i="5" s="1"/>
  <c r="F5" i="5"/>
  <c r="I4" i="5"/>
  <c r="N8" i="3"/>
  <c r="M9" i="3" s="1"/>
  <c r="G8" i="3"/>
  <c r="F9" i="3" s="1"/>
  <c r="W9" i="5" l="1"/>
  <c r="V10" i="5" s="1"/>
  <c r="G5" i="5"/>
  <c r="N9" i="3"/>
  <c r="M10" i="3" s="1"/>
  <c r="G9" i="3"/>
  <c r="F10" i="3" s="1"/>
  <c r="W10" i="5" l="1"/>
  <c r="V11" i="5" s="1"/>
  <c r="F6" i="5"/>
  <c r="I5" i="5"/>
  <c r="N10" i="3"/>
  <c r="M11" i="3" s="1"/>
  <c r="G10" i="3"/>
  <c r="F11" i="3" s="1"/>
  <c r="W11" i="5" l="1"/>
  <c r="V12" i="5" s="1"/>
  <c r="W12" i="5" s="1"/>
  <c r="G6" i="5"/>
  <c r="N11" i="3"/>
  <c r="M12" i="3" s="1"/>
  <c r="N12" i="3" s="1"/>
  <c r="G11" i="3"/>
  <c r="F12" i="3" s="1"/>
  <c r="G12" i="3" s="1"/>
  <c r="F7" i="5" l="1"/>
  <c r="I6" i="5"/>
  <c r="G7" i="5" l="1"/>
  <c r="I7" i="5"/>
  <c r="F8" i="5" l="1"/>
  <c r="G8" i="5" l="1"/>
  <c r="F9" i="5" s="1"/>
  <c r="G9" i="5" l="1"/>
  <c r="F10" i="5" s="1"/>
  <c r="I8" i="5"/>
  <c r="G10" i="5" l="1"/>
  <c r="F11" i="5" s="1"/>
  <c r="I9" i="5"/>
  <c r="G11" i="5" l="1"/>
  <c r="F12" i="5" s="1"/>
  <c r="I10" i="5"/>
  <c r="G12" i="5" l="1"/>
  <c r="H3" i="5" s="1" a="1"/>
  <c r="I11" i="5"/>
  <c r="J5" i="5" l="1"/>
  <c r="J8" i="5"/>
  <c r="J11" i="5"/>
  <c r="J6" i="5"/>
  <c r="J9" i="5"/>
  <c r="H3" i="5"/>
  <c r="J3" i="5" s="1"/>
  <c r="K3" i="5" s="1"/>
  <c r="K4" i="5" s="1"/>
  <c r="K5" i="5" s="1"/>
  <c r="K6" i="5" s="1"/>
  <c r="K7" i="5" s="1"/>
  <c r="K8" i="5" s="1"/>
  <c r="K9" i="5" s="1"/>
  <c r="K10" i="5" s="1"/>
  <c r="K11" i="5" s="1"/>
  <c r="K12" i="5" s="1"/>
  <c r="J12" i="5"/>
  <c r="J4" i="5"/>
  <c r="J7" i="5"/>
  <c r="J10" i="5"/>
  <c r="I12" i="5"/>
  <c r="G16" i="3" l="1"/>
  <c r="F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<sst xmlns="http://schemas.openxmlformats.org/spreadsheetml/2006/main" count="404" uniqueCount="238">
  <si>
    <t>№</t>
  </si>
  <si>
    <t>Рост</t>
  </si>
  <si>
    <t>Вес</t>
  </si>
  <si>
    <t>1) Ранжируя обе выборки, составить вариационные ряды</t>
  </si>
  <si>
    <t>2) Построить интервальные вариационные ряды, разбив каждую выборку на 10 интервалов.</t>
  </si>
  <si>
    <t>3) Для первой выборки (рост) построить: а). гистограмму, б). полигон, в).  выборочную функцию распределения.</t>
  </si>
  <si>
    <t xml:space="preserve">а). Выборочное среднее, б). Выборочную дисперсию, </t>
  </si>
  <si>
    <t xml:space="preserve">в). Исправленную дисперсию (хотя это и не нужно в данном случае), </t>
  </si>
  <si>
    <t>г). Исправленные выборочные средние квадратические отклонения, д). Моду.</t>
  </si>
  <si>
    <t>5) Найти точечные оценки из предыдущего пункта (кроме моды) и медиану, применив встроенные функции EXEL к исходным данным.</t>
  </si>
  <si>
    <t>6) Найти  интервальные оценки надежности 0,95 параметров роста, считая его нормальной случайной величиной:</t>
  </si>
  <si>
    <t xml:space="preserve">4) Для каждой выборки по интервальному вариационному ряду найти: </t>
  </si>
  <si>
    <t xml:space="preserve">  </t>
  </si>
  <si>
    <t xml:space="preserve">б) Доверительный интервал параметра “а”, считая неизвестным  параметр </t>
  </si>
  <si>
    <t xml:space="preserve">а) Доверительный интервал параметра “а”, считая известным  параметр </t>
  </si>
  <si>
    <t>Задания:</t>
  </si>
  <si>
    <t xml:space="preserve"> </t>
  </si>
  <si>
    <t>в) Доверительный интервал параметра         , считая неизвестным  параметр</t>
  </si>
  <si>
    <t>г). Доверительный интервал параметра         , считая известным  параметр</t>
  </si>
  <si>
    <t>При этом используем точечные оценки, полученные по интервальному ряду!</t>
  </si>
  <si>
    <t>7) Проверить гипотезу о нормальном распределении роста при уровне значимости 0,05.</t>
  </si>
  <si>
    <t>Проверить гипотезу об однородности данных выборок. При этом считаем распределение роста нормальным.</t>
  </si>
  <si>
    <t>9) Изобразить корреляционное облако.</t>
  </si>
  <si>
    <t>10) Составить корреляционную таблицу веса и роста. Найти условные средние и сделать вывод о связи этих величин.</t>
  </si>
  <si>
    <t>11) Найти внутригрупповую и межгрупповую дисперсии. Проверить теорему о разложении дисперсии.</t>
  </si>
  <si>
    <t>12) Проверить гипотезу о независимости при уровне значимости 0,05, считая распределение веса нормальным.</t>
  </si>
  <si>
    <t>13) По интервальной корреляционной таблице найти выборочный коэффициент линейной корреляции,</t>
  </si>
  <si>
    <t>составить уравнение линейной регрессии веса от роста. Сделать вывод о силе линейной связи по шкале Чеддока.</t>
  </si>
  <si>
    <t>14) Построить график линии регрессии. Нанести на этот же график точки условных средних.</t>
  </si>
  <si>
    <t>15) Найти выборочное корреляционное соотношение и сравнить его с коэффициентом корреляции.</t>
  </si>
  <si>
    <t>16) Используя встроенную функцию EXCEL ЛИНЕЙН, по исходным данным найти</t>
  </si>
  <si>
    <t>значение F-статистики, дисперсии расчетных значений и остатков. Написать уравнение регрессии.</t>
  </si>
  <si>
    <t>a) параметры a и b линейной регрессии, их стандартные ошибки, стандартную ошибку регрессии, коэффициент детерминации,</t>
  </si>
  <si>
    <t>б) Сделать прогноз веса при росте 180 см. Найти стандартную ошибку прогноза и его доверительный интервал</t>
  </si>
  <si>
    <t>в) Сделать прогноз веса при росте 180 см. Найти стандартную ошибку прогноза и его доверительный интервал</t>
  </si>
  <si>
    <t>г) Проверить гипотезу о статистической значимости уравнения линейной регрессии при уровне 0,05.</t>
  </si>
  <si>
    <t>Составим вариационные ряды</t>
  </si>
  <si>
    <t>2) Построить интервальные вариационные ряды,</t>
  </si>
  <si>
    <t>разбив каждую выборку на 10 интервалов.</t>
  </si>
  <si>
    <t>i</t>
  </si>
  <si>
    <t>Интервалы</t>
  </si>
  <si>
    <t>ai-1</t>
  </si>
  <si>
    <t>ai</t>
  </si>
  <si>
    <t>Размах выборки</t>
  </si>
  <si>
    <t>Макс</t>
  </si>
  <si>
    <t>Мин</t>
  </si>
  <si>
    <t xml:space="preserve">Кол-во интервалов </t>
  </si>
  <si>
    <t>l</t>
  </si>
  <si>
    <t>=</t>
  </si>
  <si>
    <t>Кол-во интервалов</t>
  </si>
  <si>
    <t>3) Для первой выборки (рост) построить:</t>
  </si>
  <si>
    <t>а) гистограмму, б) полигон, в)  выборочную функцию распределения.</t>
  </si>
  <si>
    <t>ni</t>
  </si>
  <si>
    <t>Ci</t>
  </si>
  <si>
    <t>Размер выборки</t>
  </si>
  <si>
    <t xml:space="preserve">Vi </t>
  </si>
  <si>
    <t>F*(x)</t>
  </si>
  <si>
    <t>Выборочная функция распределения</t>
  </si>
  <si>
    <t>Выборочное среднее</t>
  </si>
  <si>
    <t>ni * Ci</t>
  </si>
  <si>
    <t>Второй момент</t>
  </si>
  <si>
    <t>ni * Ci^2</t>
  </si>
  <si>
    <t>X_</t>
  </si>
  <si>
    <t>D*</t>
  </si>
  <si>
    <t>Выборочная дисперсия</t>
  </si>
  <si>
    <t>S^2</t>
  </si>
  <si>
    <t>Исправленная дисперсия</t>
  </si>
  <si>
    <t>sigma*</t>
  </si>
  <si>
    <t>Выборочное среднее отклонение</t>
  </si>
  <si>
    <t>S</t>
  </si>
  <si>
    <t>Исправленное среднее квадратичное</t>
  </si>
  <si>
    <t>Выборочная мода Мо*</t>
  </si>
  <si>
    <t>Первый момент</t>
  </si>
  <si>
    <t>Для роста</t>
  </si>
  <si>
    <t>Для роста, расчёты правее</t>
  </si>
  <si>
    <t>Vi</t>
  </si>
  <si>
    <t>Для веса</t>
  </si>
  <si>
    <t>и медиану, применив встроенные функции EXEL к исходным данным.</t>
  </si>
  <si>
    <t>5) Найти точечные оценки из предыдущего пункта (кроме моды)</t>
  </si>
  <si>
    <t>Ме*</t>
  </si>
  <si>
    <t>считая его нормальной случайной величиной:</t>
  </si>
  <si>
    <t>6) Найти интервальные оценки надежности 0,95 параметров роста,</t>
  </si>
  <si>
    <t>Квантиль ст.норм.распред</t>
  </si>
  <si>
    <t>Квантиль стьюдента</t>
  </si>
  <si>
    <t>Пункт а)</t>
  </si>
  <si>
    <t xml:space="preserve">&lt; a &lt; </t>
  </si>
  <si>
    <t>Пункт б)</t>
  </si>
  <si>
    <t>Пункт г)</t>
  </si>
  <si>
    <t>Пункт д)</t>
  </si>
  <si>
    <t>&lt; sigma^2 &lt;</t>
  </si>
  <si>
    <t>&lt; sigma &lt;</t>
  </si>
  <si>
    <t>Объём выборки</t>
  </si>
  <si>
    <t>Квантиль хи, меньшее, n степенй свободы</t>
  </si>
  <si>
    <t>Квантиль хи, большее, n степеней свободы</t>
  </si>
  <si>
    <t>Квантиль хи, меньшее, n - 1 степеней свободы</t>
  </si>
  <si>
    <t>Квантиль хи, большее, n - 1 степеней свободы</t>
  </si>
  <si>
    <t xml:space="preserve">7) Проверить гипотезу о нормальном </t>
  </si>
  <si>
    <t>распределении роста при уровне значимости 0,05.</t>
  </si>
  <si>
    <t>При этом используем точечные оценки,</t>
  </si>
  <si>
    <t>полученные по интервальному ряду!</t>
  </si>
  <si>
    <t>на две одинакового объема (с 1 по 100 номер и с 101 по 200).</t>
  </si>
  <si>
    <t>Проверить гипотезу об однородности данных выборок.</t>
  </si>
  <si>
    <t xml:space="preserve"> При этом считаем распределение роста нормальным.</t>
  </si>
  <si>
    <t>10) Составить корреляционную таблицу веса и роста.</t>
  </si>
  <si>
    <t>Найти условные средние и сделать вывод о связи этих величин.</t>
  </si>
  <si>
    <t>11) Найти внутригрупповую и межгрупповую дисперсии.</t>
  </si>
  <si>
    <t>Проверить теорему о разложении дисперсии.</t>
  </si>
  <si>
    <t>12) Проверить гипотезу о независимости при уровне</t>
  </si>
  <si>
    <t xml:space="preserve"> значимости 0,05, считая распределение веса нормальным.</t>
  </si>
  <si>
    <t>13) По интервальной корреляционной таблице</t>
  </si>
  <si>
    <t xml:space="preserve"> найти выборочный коэффициент линейной корреляции,</t>
  </si>
  <si>
    <t>составить уравнение линейной регрессии веса от роста.</t>
  </si>
  <si>
    <t xml:space="preserve"> Сделать вывод о силе линейной связи по шкале Чеддока.</t>
  </si>
  <si>
    <t>15) Найти выборочное корреляционное соотношение</t>
  </si>
  <si>
    <t xml:space="preserve"> и сравнить его с коэффициентом корреляции.</t>
  </si>
  <si>
    <t>14) Построить график линии регрессии.</t>
  </si>
  <si>
    <t xml:space="preserve">a) параметры a и b линейной регрессии, их стандартные ошибки, </t>
  </si>
  <si>
    <t>стандартную ошибку регрессии, коэффициент детерминации,</t>
  </si>
  <si>
    <t>По виду корреляционного облака</t>
  </si>
  <si>
    <t>можно предположить прямую корреляцию</t>
  </si>
  <si>
    <t>веса от роста</t>
  </si>
  <si>
    <t>Рост\Вес</t>
  </si>
  <si>
    <t>Вывод:</t>
  </si>
  <si>
    <t>Условные средние возрастают, основная масса чисел расположена</t>
  </si>
  <si>
    <t>на главной диагоналии - можем наблюдать прямую корреляцию</t>
  </si>
  <si>
    <t>Уровень значимости 0,05</t>
  </si>
  <si>
    <t>S1</t>
  </si>
  <si>
    <t>S2</t>
  </si>
  <si>
    <t>Ср.знач</t>
  </si>
  <si>
    <t>Критическая точка</t>
  </si>
  <si>
    <t>{-inf}</t>
  </si>
  <si>
    <t>{+inf}</t>
  </si>
  <si>
    <t>(ai - x_)/S</t>
  </si>
  <si>
    <t>x_</t>
  </si>
  <si>
    <t>F0(ai - x_)/S</t>
  </si>
  <si>
    <t>pi</t>
  </si>
  <si>
    <t>n'i = n * pi</t>
  </si>
  <si>
    <t>(ni - n'i)^2/n'i</t>
  </si>
  <si>
    <t>Наблюдаемое</t>
  </si>
  <si>
    <t>Теоретическое</t>
  </si>
  <si>
    <t>Степень свободы</t>
  </si>
  <si>
    <t>Квантиль хи-квадрат</t>
  </si>
  <si>
    <t>квантиль хи-квадрат</t>
  </si>
  <si>
    <t>Объединим последние интервалы 7, 8, 9, 10 для получения значений &gt;= 5</t>
  </si>
  <si>
    <t>n_x</t>
  </si>
  <si>
    <t>n_y</t>
  </si>
  <si>
    <t>Проверка</t>
  </si>
  <si>
    <t>D^(j)</t>
  </si>
  <si>
    <t>D_B</t>
  </si>
  <si>
    <t>D_M</t>
  </si>
  <si>
    <t>D_O</t>
  </si>
  <si>
    <t>По расчётам получаем:</t>
  </si>
  <si>
    <t>С пункта 4 имеем:</t>
  </si>
  <si>
    <t>Выборочную дисперсию веса: 42,13</t>
  </si>
  <si>
    <t>Выборочную дисперсию роста: 37,5</t>
  </si>
  <si>
    <t>Теорема выполняется</t>
  </si>
  <si>
    <t>альфа</t>
  </si>
  <si>
    <t>k</t>
  </si>
  <si>
    <t>H0: не имеется корреляции веса от роста</t>
  </si>
  <si>
    <t xml:space="preserve">K = </t>
  </si>
  <si>
    <t>t_крит.</t>
  </si>
  <si>
    <t>H1: имеется корреляция веса от роста</t>
  </si>
  <si>
    <t>Так как K &gt; t_крит., то гипотеза H0 отвергается</t>
  </si>
  <si>
    <t>Принимается альтернативная гипотеза H1</t>
  </si>
  <si>
    <t>Поиск коэффициента</t>
  </si>
  <si>
    <t>Выборочное ср. роста</t>
  </si>
  <si>
    <t>Выборочное ср. веса</t>
  </si>
  <si>
    <t>b</t>
  </si>
  <si>
    <t>a</t>
  </si>
  <si>
    <t>Sx</t>
  </si>
  <si>
    <t>Sy</t>
  </si>
  <si>
    <t>xy__</t>
  </si>
  <si>
    <t>линейной корреляции,</t>
  </si>
  <si>
    <t>уравнение лин.регрессии</t>
  </si>
  <si>
    <t>r =</t>
  </si>
  <si>
    <t>Межгрупповая дисперсия равняется 16,83869</t>
  </si>
  <si>
    <t>Внутригрупповая дисперсия равняется 25,29251</t>
  </si>
  <si>
    <t>Общая дисперсия (по теореме) равняется их сумме 42,1312</t>
  </si>
  <si>
    <t>y_x</t>
  </si>
  <si>
    <t>y =</t>
  </si>
  <si>
    <t>0,606x - 37,476</t>
  </si>
  <si>
    <t>r = 0,572</t>
  </si>
  <si>
    <t>y = 0,606x - 37,476</t>
  </si>
  <si>
    <t>По шкале Чеддока имеется заметная корреляция</t>
  </si>
  <si>
    <t>Рост (X)</t>
  </si>
  <si>
    <t>Вес (Y)</t>
  </si>
  <si>
    <t>Точки для построения прямой</t>
  </si>
  <si>
    <t>r</t>
  </si>
  <si>
    <t>μ</t>
  </si>
  <si>
    <t>Выборочное корреляционное соотношение: 0,632</t>
  </si>
  <si>
    <t>Коэффициент корреляции: 0,572</t>
  </si>
  <si>
    <t>Так как кор.соотношение достаточно близко</t>
  </si>
  <si>
    <t xml:space="preserve">к коэффициенту корреляции, то можно сделать </t>
  </si>
  <si>
    <t>вывод, что модель линейной регрессии оправдана</t>
  </si>
  <si>
    <t>Средние значения</t>
  </si>
  <si>
    <t>Линейн</t>
  </si>
  <si>
    <t xml:space="preserve">a = </t>
  </si>
  <si>
    <t>S_b</t>
  </si>
  <si>
    <t>nD(e)</t>
  </si>
  <si>
    <t>R^2</t>
  </si>
  <si>
    <t>F</t>
  </si>
  <si>
    <t>n - 2</t>
  </si>
  <si>
    <t xml:space="preserve">b = </t>
  </si>
  <si>
    <t>S_a =</t>
  </si>
  <si>
    <t>b =</t>
  </si>
  <si>
    <t>S_b =</t>
  </si>
  <si>
    <t>S =</t>
  </si>
  <si>
    <t>nD(y^) =</t>
  </si>
  <si>
    <t>nD(e) =</t>
  </si>
  <si>
    <t xml:space="preserve">D(y^) = </t>
  </si>
  <si>
    <t>D(e) =</t>
  </si>
  <si>
    <t>R^2 =</t>
  </si>
  <si>
    <t>F =</t>
  </si>
  <si>
    <t>n - 2 =</t>
  </si>
  <si>
    <t>рост</t>
  </si>
  <si>
    <t>Прогноз веса</t>
  </si>
  <si>
    <t>гамма</t>
  </si>
  <si>
    <t>t_гамма</t>
  </si>
  <si>
    <r>
      <t>S_</t>
    </r>
    <r>
      <rPr>
        <sz val="11"/>
        <color theme="1"/>
        <rFont val="Calibri"/>
        <family val="2"/>
        <charset val="204"/>
      </rPr>
      <t>Δ</t>
    </r>
    <r>
      <rPr>
        <sz val="11"/>
        <color theme="1"/>
        <rFont val="Calibri"/>
        <family val="2"/>
      </rPr>
      <t>p</t>
    </r>
  </si>
  <si>
    <t>&lt;= y_p &lt;=</t>
  </si>
  <si>
    <t>Пункт в)</t>
  </si>
  <si>
    <r>
      <t xml:space="preserve">&lt;= </t>
    </r>
    <r>
      <rPr>
        <sz val="11"/>
        <color theme="1"/>
        <rFont val="Calibri"/>
        <family val="2"/>
        <charset val="204"/>
      </rPr>
      <t>β</t>
    </r>
    <r>
      <rPr>
        <sz val="11"/>
        <color theme="1"/>
        <rFont val="Calibri"/>
        <family val="2"/>
        <scheme val="minor"/>
      </rPr>
      <t xml:space="preserve"> &lt;=</t>
    </r>
  </si>
  <si>
    <r>
      <t xml:space="preserve">&lt;= </t>
    </r>
    <r>
      <rPr>
        <sz val="11"/>
        <color theme="1"/>
        <rFont val="Calibri"/>
        <family val="2"/>
        <charset val="204"/>
      </rPr>
      <t>α</t>
    </r>
    <r>
      <rPr>
        <sz val="11"/>
        <color theme="1"/>
        <rFont val="Calibri"/>
        <family val="2"/>
        <scheme val="minor"/>
      </rPr>
      <t xml:space="preserve"> &lt;=</t>
    </r>
  </si>
  <si>
    <t>t_крит</t>
  </si>
  <si>
    <t>Ср.рост</t>
  </si>
  <si>
    <t>Испр. Дисп</t>
  </si>
  <si>
    <t>&lt;</t>
  </si>
  <si>
    <t>Так как наблюдаемое значение &lt; теоретического, то гипотеза о нормальном</t>
  </si>
  <si>
    <t>распределении не отвергается</t>
  </si>
  <si>
    <t>Критерий Фишера</t>
  </si>
  <si>
    <t>Критерий Стьюдента</t>
  </si>
  <si>
    <t>К</t>
  </si>
  <si>
    <t>t_alpha</t>
  </si>
  <si>
    <t>K</t>
  </si>
  <si>
    <t>С гипотезой об однородности можно согласиться</t>
  </si>
  <si>
    <t>Нанести на этот же график точки условных средних.</t>
  </si>
  <si>
    <r>
      <t>8) Разбить исходную выборку роста (</t>
    </r>
    <r>
      <rPr>
        <sz val="12"/>
        <color rgb="FFFF0000"/>
        <rFont val="Times New Roman"/>
        <family val="1"/>
        <charset val="204"/>
      </rPr>
      <t>не отсортированную!</t>
    </r>
    <r>
      <rPr>
        <sz val="12"/>
        <color theme="1"/>
        <rFont val="Times New Roman"/>
        <family val="1"/>
        <charset val="204"/>
      </rPr>
      <t xml:space="preserve">) </t>
    </r>
  </si>
  <si>
    <r>
      <t>8) Разбить исходную выборку роста (</t>
    </r>
    <r>
      <rPr>
        <sz val="12"/>
        <color rgb="FFFF0000"/>
        <rFont val="Times New Roman"/>
        <family val="1"/>
        <charset val="204"/>
      </rPr>
      <t>не отсортированную!</t>
    </r>
    <r>
      <rPr>
        <sz val="12"/>
        <color theme="1"/>
        <rFont val="Times New Roman"/>
        <family val="1"/>
        <charset val="204"/>
      </rPr>
      <t>) на две одинакового объема (с 1 по 100 номер и с 101 по 200).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</si>
</sst>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6" fillId="0" borderId="0" xfId="0" applyFont="1"/>
    <xf numFmtId="0" fontId="6" fillId="4" borderId="0" xfId="0" applyFont="1" applyFill="1"/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0" applyFont="1" applyFill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7" xfId="0" applyFont="1" applyBorder="1"/>
    <xf numFmtId="0" fontId="6" fillId="3" borderId="0" xfId="0" applyFont="1" applyFill="1"/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6" fillId="0" borderId="0" xfId="0" applyFont="1" applyFill="1"/>
    <xf numFmtId="0" fontId="6" fillId="4" borderId="0" xfId="0" applyFont="1" applyFill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left"/>
    </xf>
    <xf numFmtId="0" fontId="10" fillId="0" borderId="0" xfId="0" applyFont="1" applyAlignment="1">
      <alignment horizontal="center"/>
    </xf>
  </cellXfs>
  <cellStyles count="27">
    <cellStyle name="Обычный" xfId="0" builtinId="0"/>
    <cellStyle name="Обычный 10" xfId="10" xr:uid="{FEDD56FA-627D-45B9-BA43-EF6E159750CC}"/>
    <cellStyle name="Обычный 11" xfId="11" xr:uid="{35F99A52-A28D-4292-B7E9-B130552EA68A}"/>
    <cellStyle name="Обычный 12" xfId="12" xr:uid="{CF81949C-FD34-4F09-8D2A-A2BB274FCB74}"/>
    <cellStyle name="Обычный 13" xfId="13" xr:uid="{12D46BF2-7D34-41AF-8E39-422305F8359C}"/>
    <cellStyle name="Обычный 14" xfId="14" xr:uid="{E49F8D6D-F7CC-4EEE-932A-3A49B1B39809}"/>
    <cellStyle name="Обычный 15" xfId="15" xr:uid="{20C28CE1-6D5A-4CD8-AF09-727E1DF095E8}"/>
    <cellStyle name="Обычный 16" xfId="16" xr:uid="{2653B388-819F-48CF-98CC-C808A36C5AFB}"/>
    <cellStyle name="Обычный 17" xfId="17" xr:uid="{65185A9C-0E62-4078-AF3F-6CD0B299C884}"/>
    <cellStyle name="Обычный 18" xfId="18" xr:uid="{BA0389DB-41B1-4B52-B995-DC1AF4D6A8EC}"/>
    <cellStyle name="Обычный 19" xfId="19" xr:uid="{32398981-8ABB-43D8-BDA5-F1883B96F402}"/>
    <cellStyle name="Обычный 2" xfId="2" xr:uid="{80A649A5-0477-4FED-B4F9-4F7B64740DDF}"/>
    <cellStyle name="Обычный 20" xfId="20" xr:uid="{F772CFDD-9EC1-4431-B843-63D137A4C12F}"/>
    <cellStyle name="Обычный 21" xfId="21" xr:uid="{155377AD-A771-4AAB-9532-096DD244FBA6}"/>
    <cellStyle name="Обычный 22" xfId="22" xr:uid="{09E53654-AE6A-4400-B0BB-4E49EEC2A59F}"/>
    <cellStyle name="Обычный 23" xfId="23" xr:uid="{4C3675B6-D9FC-4C2C-B228-815FECFB7376}"/>
    <cellStyle name="Обычный 24" xfId="24" xr:uid="{394BB8A5-E0BE-4A63-AB73-B98261773614}"/>
    <cellStyle name="Обычный 25" xfId="25" xr:uid="{71E541B2-A62C-41E0-8F36-E34E80B6BCCC}"/>
    <cellStyle name="Обычный 26" xfId="26" xr:uid="{73F09687-1E7A-43B1-BA26-8340872BA2AD}"/>
    <cellStyle name="Обычный 27" xfId="1" xr:uid="{12DFFF6F-6573-4193-8AD0-384B03ABDF6E}"/>
    <cellStyle name="Обычный 3" xfId="3" xr:uid="{83FB39CF-1A81-40FA-BF6F-16F165A3DA0C}"/>
    <cellStyle name="Обычный 4" xfId="4" xr:uid="{AA69B0D7-39D7-49D1-B00A-DBA91A5C258F}"/>
    <cellStyle name="Обычный 5" xfId="5" xr:uid="{32723440-65DA-4190-A7D2-CEC96DF7E419}"/>
    <cellStyle name="Обычный 6" xfId="6" xr:uid="{2C3BDED8-BD5F-4FDE-9BD2-42D08AA77B1D}"/>
    <cellStyle name="Обычный 7" xfId="7" xr:uid="{85E07DA4-10DF-40B0-B6F3-55317519402E}"/>
    <cellStyle name="Обычный 8" xfId="8" xr:uid="{FB01C240-4D36-4A14-BEC0-76BA2CEBCF1C}"/>
    <cellStyle name="Обычный 9" xfId="9" xr:uid="{FE15397D-1F2C-41E5-AA6F-B4DE2AAB0A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</a:p>
        </c:rich>
      </c:tx>
      <c:layout>
        <c:manualLayout>
          <c:xMode val="edge"/>
          <c:yMode val="edge"/>
          <c:x val="0.38574306827790306"/>
          <c:y val="2.7130143512050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Частоты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'3'!$I$3:$I$12</c:f>
              <c:numCache>
                <c:formatCode>General</c:formatCode>
                <c:ptCount val="10"/>
                <c:pt idx="0">
                  <c:v>158</c:v>
                </c:pt>
                <c:pt idx="1">
                  <c:v>162</c:v>
                </c:pt>
                <c:pt idx="2">
                  <c:v>166</c:v>
                </c:pt>
                <c:pt idx="3">
                  <c:v>170</c:v>
                </c:pt>
                <c:pt idx="4">
                  <c:v>174</c:v>
                </c:pt>
                <c:pt idx="5">
                  <c:v>178</c:v>
                </c:pt>
                <c:pt idx="6">
                  <c:v>182</c:v>
                </c:pt>
                <c:pt idx="7">
                  <c:v>186</c:v>
                </c:pt>
                <c:pt idx="8">
                  <c:v>190</c:v>
                </c:pt>
                <c:pt idx="9">
                  <c:v>194</c:v>
                </c:pt>
              </c:numCache>
            </c:numRef>
          </c:cat>
          <c:val>
            <c:numRef>
              <c:f>'3'!$H$3:$H$13</c:f>
              <c:numCache>
                <c:formatCode>General</c:formatCode>
                <c:ptCount val="11"/>
                <c:pt idx="0">
                  <c:v>11</c:v>
                </c:pt>
                <c:pt idx="1">
                  <c:v>33</c:v>
                </c:pt>
                <c:pt idx="2">
                  <c:v>47</c:v>
                </c:pt>
                <c:pt idx="3">
                  <c:v>57</c:v>
                </c:pt>
                <c:pt idx="4">
                  <c:v>27</c:v>
                </c:pt>
                <c:pt idx="5">
                  <c:v>19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11-43CD-A8FA-386730266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167684847"/>
        <c:axId val="1167682927"/>
      </c:barChart>
      <c:catAx>
        <c:axId val="116768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7682927"/>
        <c:crosses val="autoZero"/>
        <c:auto val="1"/>
        <c:lblAlgn val="ctr"/>
        <c:lblOffset val="100"/>
        <c:noMultiLvlLbl val="0"/>
      </c:catAx>
      <c:valAx>
        <c:axId val="116768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768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'3'!$I$3:$I$12</c:f>
              <c:numCache>
                <c:formatCode>General</c:formatCode>
                <c:ptCount val="10"/>
                <c:pt idx="0">
                  <c:v>158</c:v>
                </c:pt>
                <c:pt idx="1">
                  <c:v>162</c:v>
                </c:pt>
                <c:pt idx="2">
                  <c:v>166</c:v>
                </c:pt>
                <c:pt idx="3">
                  <c:v>170</c:v>
                </c:pt>
                <c:pt idx="4">
                  <c:v>174</c:v>
                </c:pt>
                <c:pt idx="5">
                  <c:v>178</c:v>
                </c:pt>
                <c:pt idx="6">
                  <c:v>182</c:v>
                </c:pt>
                <c:pt idx="7">
                  <c:v>186</c:v>
                </c:pt>
                <c:pt idx="8">
                  <c:v>190</c:v>
                </c:pt>
                <c:pt idx="9">
                  <c:v>194</c:v>
                </c:pt>
              </c:numCache>
            </c:numRef>
          </c:cat>
          <c:val>
            <c:numRef>
              <c:f>'3'!$J$3:$J$12</c:f>
              <c:numCache>
                <c:formatCode>General</c:formatCode>
                <c:ptCount val="10"/>
                <c:pt idx="0">
                  <c:v>5.5E-2</c:v>
                </c:pt>
                <c:pt idx="1">
                  <c:v>0.16500000000000001</c:v>
                </c:pt>
                <c:pt idx="2">
                  <c:v>0.23499999999999999</c:v>
                </c:pt>
                <c:pt idx="3">
                  <c:v>0.28499999999999998</c:v>
                </c:pt>
                <c:pt idx="4">
                  <c:v>0.13500000000000001</c:v>
                </c:pt>
                <c:pt idx="5">
                  <c:v>9.5000000000000001E-2</c:v>
                </c:pt>
                <c:pt idx="6">
                  <c:v>1.4999999999999999E-2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4D-405C-8101-65287EFB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8087871"/>
        <c:axId val="1028085951"/>
      </c:lineChart>
      <c:catAx>
        <c:axId val="102808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8085951"/>
        <c:crosses val="autoZero"/>
        <c:auto val="1"/>
        <c:lblAlgn val="ctr"/>
        <c:lblOffset val="100"/>
        <c:noMultiLvlLbl val="0"/>
      </c:catAx>
      <c:valAx>
        <c:axId val="102808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808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Выборочная</a:t>
            </a:r>
            <a:r>
              <a:rPr lang="ru-RU" baseline="0"/>
              <a:t> функция распределения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'3'!$I$3:$I$12</c:f>
              <c:numCache>
                <c:formatCode>General</c:formatCode>
                <c:ptCount val="10"/>
                <c:pt idx="0">
                  <c:v>158</c:v>
                </c:pt>
                <c:pt idx="1">
                  <c:v>162</c:v>
                </c:pt>
                <c:pt idx="2">
                  <c:v>166</c:v>
                </c:pt>
                <c:pt idx="3">
                  <c:v>170</c:v>
                </c:pt>
                <c:pt idx="4">
                  <c:v>174</c:v>
                </c:pt>
                <c:pt idx="5">
                  <c:v>178</c:v>
                </c:pt>
                <c:pt idx="6">
                  <c:v>182</c:v>
                </c:pt>
                <c:pt idx="7">
                  <c:v>186</c:v>
                </c:pt>
                <c:pt idx="8">
                  <c:v>190</c:v>
                </c:pt>
                <c:pt idx="9">
                  <c:v>194</c:v>
                </c:pt>
              </c:numCache>
            </c:numRef>
          </c:cat>
          <c:val>
            <c:numRef>
              <c:f>'3'!$K$3:$K$12</c:f>
              <c:numCache>
                <c:formatCode>General</c:formatCode>
                <c:ptCount val="10"/>
                <c:pt idx="0">
                  <c:v>5.5E-2</c:v>
                </c:pt>
                <c:pt idx="1">
                  <c:v>0.22</c:v>
                </c:pt>
                <c:pt idx="2">
                  <c:v>0.45499999999999996</c:v>
                </c:pt>
                <c:pt idx="3">
                  <c:v>0.74</c:v>
                </c:pt>
                <c:pt idx="4">
                  <c:v>0.875</c:v>
                </c:pt>
                <c:pt idx="5">
                  <c:v>0.97</c:v>
                </c:pt>
                <c:pt idx="6">
                  <c:v>0.98499999999999999</c:v>
                </c:pt>
                <c:pt idx="7">
                  <c:v>0.99</c:v>
                </c:pt>
                <c:pt idx="8">
                  <c:v>0.995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11-41F1-979D-F48056569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17616"/>
        <c:axId val="34120976"/>
      </c:lineChart>
      <c:catAx>
        <c:axId val="3411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20976"/>
        <c:crosses val="autoZero"/>
        <c:auto val="1"/>
        <c:lblAlgn val="ctr"/>
        <c:lblOffset val="100"/>
        <c:noMultiLvlLbl val="0"/>
      </c:catAx>
      <c:valAx>
        <c:axId val="3412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облако (вес от роста)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'9'!$C$1:$C$200</c:f>
              <c:numCache>
                <c:formatCode>General</c:formatCode>
                <c:ptCount val="200"/>
                <c:pt idx="0">
                  <c:v>165</c:v>
                </c:pt>
                <c:pt idx="1">
                  <c:v>162</c:v>
                </c:pt>
                <c:pt idx="2">
                  <c:v>171</c:v>
                </c:pt>
                <c:pt idx="3">
                  <c:v>172</c:v>
                </c:pt>
                <c:pt idx="4">
                  <c:v>171</c:v>
                </c:pt>
                <c:pt idx="5">
                  <c:v>166</c:v>
                </c:pt>
                <c:pt idx="6">
                  <c:v>164</c:v>
                </c:pt>
                <c:pt idx="7">
                  <c:v>164</c:v>
                </c:pt>
                <c:pt idx="8">
                  <c:v>169</c:v>
                </c:pt>
                <c:pt idx="9">
                  <c:v>169</c:v>
                </c:pt>
                <c:pt idx="10">
                  <c:v>163</c:v>
                </c:pt>
                <c:pt idx="11">
                  <c:v>173</c:v>
                </c:pt>
                <c:pt idx="12">
                  <c:v>176</c:v>
                </c:pt>
                <c:pt idx="13">
                  <c:v>168</c:v>
                </c:pt>
                <c:pt idx="14">
                  <c:v>169</c:v>
                </c:pt>
                <c:pt idx="15">
                  <c:v>168</c:v>
                </c:pt>
                <c:pt idx="16">
                  <c:v>166</c:v>
                </c:pt>
                <c:pt idx="17">
                  <c:v>178</c:v>
                </c:pt>
                <c:pt idx="18">
                  <c:v>165</c:v>
                </c:pt>
                <c:pt idx="19">
                  <c:v>164</c:v>
                </c:pt>
                <c:pt idx="20">
                  <c:v>161</c:v>
                </c:pt>
                <c:pt idx="21">
                  <c:v>170</c:v>
                </c:pt>
                <c:pt idx="22">
                  <c:v>164</c:v>
                </c:pt>
                <c:pt idx="23">
                  <c:v>171</c:v>
                </c:pt>
                <c:pt idx="24">
                  <c:v>171</c:v>
                </c:pt>
                <c:pt idx="25">
                  <c:v>163</c:v>
                </c:pt>
                <c:pt idx="26">
                  <c:v>167</c:v>
                </c:pt>
                <c:pt idx="27">
                  <c:v>165</c:v>
                </c:pt>
                <c:pt idx="28">
                  <c:v>175</c:v>
                </c:pt>
                <c:pt idx="29">
                  <c:v>171</c:v>
                </c:pt>
                <c:pt idx="30">
                  <c:v>174</c:v>
                </c:pt>
                <c:pt idx="31">
                  <c:v>164</c:v>
                </c:pt>
                <c:pt idx="32">
                  <c:v>166</c:v>
                </c:pt>
                <c:pt idx="33">
                  <c:v>161</c:v>
                </c:pt>
                <c:pt idx="34">
                  <c:v>169</c:v>
                </c:pt>
                <c:pt idx="35">
                  <c:v>163</c:v>
                </c:pt>
                <c:pt idx="36">
                  <c:v>168</c:v>
                </c:pt>
                <c:pt idx="37">
                  <c:v>166</c:v>
                </c:pt>
                <c:pt idx="38">
                  <c:v>172</c:v>
                </c:pt>
                <c:pt idx="39">
                  <c:v>165</c:v>
                </c:pt>
                <c:pt idx="40">
                  <c:v>166</c:v>
                </c:pt>
                <c:pt idx="41">
                  <c:v>171</c:v>
                </c:pt>
                <c:pt idx="42">
                  <c:v>161</c:v>
                </c:pt>
                <c:pt idx="43">
                  <c:v>163</c:v>
                </c:pt>
                <c:pt idx="44">
                  <c:v>165</c:v>
                </c:pt>
                <c:pt idx="45">
                  <c:v>172</c:v>
                </c:pt>
                <c:pt idx="46">
                  <c:v>167</c:v>
                </c:pt>
                <c:pt idx="47">
                  <c:v>168</c:v>
                </c:pt>
                <c:pt idx="48">
                  <c:v>157</c:v>
                </c:pt>
                <c:pt idx="49">
                  <c:v>169</c:v>
                </c:pt>
                <c:pt idx="50">
                  <c:v>178</c:v>
                </c:pt>
                <c:pt idx="51">
                  <c:v>160</c:v>
                </c:pt>
                <c:pt idx="52">
                  <c:v>175</c:v>
                </c:pt>
                <c:pt idx="53">
                  <c:v>160</c:v>
                </c:pt>
                <c:pt idx="54">
                  <c:v>170</c:v>
                </c:pt>
                <c:pt idx="55">
                  <c:v>162</c:v>
                </c:pt>
                <c:pt idx="56">
                  <c:v>171</c:v>
                </c:pt>
                <c:pt idx="57">
                  <c:v>178</c:v>
                </c:pt>
                <c:pt idx="58">
                  <c:v>173</c:v>
                </c:pt>
                <c:pt idx="59">
                  <c:v>170</c:v>
                </c:pt>
                <c:pt idx="60">
                  <c:v>171</c:v>
                </c:pt>
                <c:pt idx="61">
                  <c:v>176</c:v>
                </c:pt>
                <c:pt idx="62">
                  <c:v>156</c:v>
                </c:pt>
                <c:pt idx="63">
                  <c:v>179</c:v>
                </c:pt>
                <c:pt idx="64">
                  <c:v>173</c:v>
                </c:pt>
                <c:pt idx="65">
                  <c:v>162</c:v>
                </c:pt>
                <c:pt idx="66">
                  <c:v>172</c:v>
                </c:pt>
                <c:pt idx="67">
                  <c:v>184</c:v>
                </c:pt>
                <c:pt idx="68">
                  <c:v>166</c:v>
                </c:pt>
                <c:pt idx="69">
                  <c:v>171</c:v>
                </c:pt>
                <c:pt idx="70">
                  <c:v>182</c:v>
                </c:pt>
                <c:pt idx="71">
                  <c:v>160</c:v>
                </c:pt>
                <c:pt idx="72">
                  <c:v>164</c:v>
                </c:pt>
                <c:pt idx="73">
                  <c:v>170</c:v>
                </c:pt>
                <c:pt idx="74">
                  <c:v>164</c:v>
                </c:pt>
                <c:pt idx="75">
                  <c:v>161</c:v>
                </c:pt>
                <c:pt idx="76">
                  <c:v>173</c:v>
                </c:pt>
                <c:pt idx="77">
                  <c:v>171</c:v>
                </c:pt>
                <c:pt idx="78">
                  <c:v>186</c:v>
                </c:pt>
                <c:pt idx="79">
                  <c:v>170</c:v>
                </c:pt>
                <c:pt idx="80">
                  <c:v>179</c:v>
                </c:pt>
                <c:pt idx="81">
                  <c:v>171</c:v>
                </c:pt>
                <c:pt idx="82">
                  <c:v>172</c:v>
                </c:pt>
                <c:pt idx="83">
                  <c:v>179</c:v>
                </c:pt>
                <c:pt idx="84">
                  <c:v>172</c:v>
                </c:pt>
                <c:pt idx="85">
                  <c:v>196</c:v>
                </c:pt>
                <c:pt idx="86">
                  <c:v>160</c:v>
                </c:pt>
                <c:pt idx="87">
                  <c:v>169</c:v>
                </c:pt>
                <c:pt idx="88">
                  <c:v>190</c:v>
                </c:pt>
                <c:pt idx="89">
                  <c:v>169</c:v>
                </c:pt>
                <c:pt idx="90">
                  <c:v>178</c:v>
                </c:pt>
                <c:pt idx="91">
                  <c:v>171</c:v>
                </c:pt>
                <c:pt idx="92">
                  <c:v>171</c:v>
                </c:pt>
                <c:pt idx="93">
                  <c:v>177</c:v>
                </c:pt>
                <c:pt idx="94">
                  <c:v>178</c:v>
                </c:pt>
                <c:pt idx="95">
                  <c:v>175</c:v>
                </c:pt>
                <c:pt idx="96">
                  <c:v>168</c:v>
                </c:pt>
                <c:pt idx="97">
                  <c:v>167</c:v>
                </c:pt>
                <c:pt idx="98">
                  <c:v>170</c:v>
                </c:pt>
                <c:pt idx="99">
                  <c:v>173</c:v>
                </c:pt>
                <c:pt idx="100">
                  <c:v>167</c:v>
                </c:pt>
                <c:pt idx="101">
                  <c:v>174</c:v>
                </c:pt>
                <c:pt idx="102">
                  <c:v>175</c:v>
                </c:pt>
                <c:pt idx="103">
                  <c:v>167</c:v>
                </c:pt>
                <c:pt idx="104">
                  <c:v>180</c:v>
                </c:pt>
                <c:pt idx="105">
                  <c:v>166</c:v>
                </c:pt>
                <c:pt idx="106">
                  <c:v>176</c:v>
                </c:pt>
                <c:pt idx="107">
                  <c:v>174</c:v>
                </c:pt>
                <c:pt idx="108">
                  <c:v>169</c:v>
                </c:pt>
                <c:pt idx="109">
                  <c:v>177</c:v>
                </c:pt>
                <c:pt idx="110">
                  <c:v>167</c:v>
                </c:pt>
                <c:pt idx="111">
                  <c:v>170</c:v>
                </c:pt>
                <c:pt idx="112">
                  <c:v>158</c:v>
                </c:pt>
                <c:pt idx="113">
                  <c:v>171</c:v>
                </c:pt>
                <c:pt idx="114">
                  <c:v>176</c:v>
                </c:pt>
                <c:pt idx="115">
                  <c:v>172</c:v>
                </c:pt>
                <c:pt idx="116">
                  <c:v>165</c:v>
                </c:pt>
                <c:pt idx="117">
                  <c:v>178</c:v>
                </c:pt>
                <c:pt idx="118">
                  <c:v>157</c:v>
                </c:pt>
                <c:pt idx="119">
                  <c:v>169</c:v>
                </c:pt>
                <c:pt idx="120">
                  <c:v>169</c:v>
                </c:pt>
                <c:pt idx="121">
                  <c:v>167</c:v>
                </c:pt>
                <c:pt idx="122">
                  <c:v>177</c:v>
                </c:pt>
                <c:pt idx="123">
                  <c:v>159</c:v>
                </c:pt>
                <c:pt idx="124">
                  <c:v>172</c:v>
                </c:pt>
                <c:pt idx="125">
                  <c:v>167</c:v>
                </c:pt>
                <c:pt idx="126">
                  <c:v>164</c:v>
                </c:pt>
                <c:pt idx="127">
                  <c:v>174</c:v>
                </c:pt>
                <c:pt idx="128">
                  <c:v>176</c:v>
                </c:pt>
                <c:pt idx="129">
                  <c:v>159</c:v>
                </c:pt>
                <c:pt idx="130">
                  <c:v>169</c:v>
                </c:pt>
                <c:pt idx="131">
                  <c:v>167</c:v>
                </c:pt>
                <c:pt idx="132">
                  <c:v>157</c:v>
                </c:pt>
                <c:pt idx="133">
                  <c:v>175</c:v>
                </c:pt>
                <c:pt idx="134">
                  <c:v>165</c:v>
                </c:pt>
                <c:pt idx="135">
                  <c:v>168</c:v>
                </c:pt>
                <c:pt idx="136">
                  <c:v>172</c:v>
                </c:pt>
                <c:pt idx="137">
                  <c:v>173</c:v>
                </c:pt>
                <c:pt idx="138">
                  <c:v>167</c:v>
                </c:pt>
                <c:pt idx="139">
                  <c:v>163</c:v>
                </c:pt>
                <c:pt idx="140">
                  <c:v>166</c:v>
                </c:pt>
                <c:pt idx="141">
                  <c:v>168</c:v>
                </c:pt>
                <c:pt idx="142">
                  <c:v>169</c:v>
                </c:pt>
                <c:pt idx="143">
                  <c:v>177</c:v>
                </c:pt>
                <c:pt idx="144">
                  <c:v>170</c:v>
                </c:pt>
                <c:pt idx="145">
                  <c:v>170</c:v>
                </c:pt>
                <c:pt idx="146">
                  <c:v>176</c:v>
                </c:pt>
                <c:pt idx="147">
                  <c:v>165</c:v>
                </c:pt>
                <c:pt idx="148">
                  <c:v>182</c:v>
                </c:pt>
                <c:pt idx="149">
                  <c:v>173</c:v>
                </c:pt>
                <c:pt idx="150">
                  <c:v>166</c:v>
                </c:pt>
                <c:pt idx="151">
                  <c:v>170</c:v>
                </c:pt>
                <c:pt idx="152">
                  <c:v>166</c:v>
                </c:pt>
                <c:pt idx="153">
                  <c:v>177</c:v>
                </c:pt>
                <c:pt idx="154">
                  <c:v>172</c:v>
                </c:pt>
                <c:pt idx="155">
                  <c:v>161</c:v>
                </c:pt>
                <c:pt idx="156">
                  <c:v>172</c:v>
                </c:pt>
                <c:pt idx="157">
                  <c:v>163</c:v>
                </c:pt>
                <c:pt idx="158">
                  <c:v>176</c:v>
                </c:pt>
                <c:pt idx="159">
                  <c:v>161</c:v>
                </c:pt>
                <c:pt idx="160">
                  <c:v>161</c:v>
                </c:pt>
                <c:pt idx="161">
                  <c:v>172</c:v>
                </c:pt>
                <c:pt idx="162">
                  <c:v>167</c:v>
                </c:pt>
                <c:pt idx="163">
                  <c:v>168</c:v>
                </c:pt>
                <c:pt idx="164">
                  <c:v>161</c:v>
                </c:pt>
                <c:pt idx="165">
                  <c:v>169</c:v>
                </c:pt>
                <c:pt idx="166">
                  <c:v>168</c:v>
                </c:pt>
                <c:pt idx="167">
                  <c:v>170</c:v>
                </c:pt>
                <c:pt idx="168">
                  <c:v>166</c:v>
                </c:pt>
                <c:pt idx="169">
                  <c:v>175</c:v>
                </c:pt>
                <c:pt idx="170">
                  <c:v>180</c:v>
                </c:pt>
                <c:pt idx="171">
                  <c:v>164</c:v>
                </c:pt>
                <c:pt idx="172">
                  <c:v>161</c:v>
                </c:pt>
                <c:pt idx="173">
                  <c:v>162</c:v>
                </c:pt>
                <c:pt idx="174">
                  <c:v>171</c:v>
                </c:pt>
                <c:pt idx="175">
                  <c:v>166</c:v>
                </c:pt>
                <c:pt idx="176">
                  <c:v>179</c:v>
                </c:pt>
                <c:pt idx="177">
                  <c:v>162</c:v>
                </c:pt>
                <c:pt idx="178">
                  <c:v>167</c:v>
                </c:pt>
                <c:pt idx="179">
                  <c:v>176</c:v>
                </c:pt>
                <c:pt idx="180">
                  <c:v>163</c:v>
                </c:pt>
                <c:pt idx="181">
                  <c:v>169</c:v>
                </c:pt>
                <c:pt idx="182">
                  <c:v>174</c:v>
                </c:pt>
                <c:pt idx="183">
                  <c:v>167</c:v>
                </c:pt>
                <c:pt idx="184">
                  <c:v>179</c:v>
                </c:pt>
                <c:pt idx="185">
                  <c:v>173</c:v>
                </c:pt>
                <c:pt idx="186">
                  <c:v>172</c:v>
                </c:pt>
                <c:pt idx="187">
                  <c:v>171</c:v>
                </c:pt>
                <c:pt idx="188">
                  <c:v>171</c:v>
                </c:pt>
                <c:pt idx="189">
                  <c:v>171</c:v>
                </c:pt>
                <c:pt idx="190">
                  <c:v>163</c:v>
                </c:pt>
                <c:pt idx="191">
                  <c:v>168</c:v>
                </c:pt>
                <c:pt idx="192">
                  <c:v>164</c:v>
                </c:pt>
                <c:pt idx="193">
                  <c:v>167</c:v>
                </c:pt>
                <c:pt idx="194">
                  <c:v>171</c:v>
                </c:pt>
                <c:pt idx="195">
                  <c:v>165</c:v>
                </c:pt>
                <c:pt idx="196">
                  <c:v>164</c:v>
                </c:pt>
                <c:pt idx="197">
                  <c:v>180</c:v>
                </c:pt>
                <c:pt idx="198">
                  <c:v>165</c:v>
                </c:pt>
                <c:pt idx="199">
                  <c:v>165</c:v>
                </c:pt>
              </c:numCache>
            </c:numRef>
          </c:xVal>
          <c:yVal>
            <c:numRef>
              <c:f>'9'!$D$1:$D$200</c:f>
              <c:numCache>
                <c:formatCode>General</c:formatCode>
                <c:ptCount val="200"/>
                <c:pt idx="0">
                  <c:v>67</c:v>
                </c:pt>
                <c:pt idx="1">
                  <c:v>60</c:v>
                </c:pt>
                <c:pt idx="2">
                  <c:v>60</c:v>
                </c:pt>
                <c:pt idx="3">
                  <c:v>72</c:v>
                </c:pt>
                <c:pt idx="4">
                  <c:v>65</c:v>
                </c:pt>
                <c:pt idx="5">
                  <c:v>62</c:v>
                </c:pt>
                <c:pt idx="6">
                  <c:v>56</c:v>
                </c:pt>
                <c:pt idx="7">
                  <c:v>63</c:v>
                </c:pt>
                <c:pt idx="8">
                  <c:v>65</c:v>
                </c:pt>
                <c:pt idx="9">
                  <c:v>75</c:v>
                </c:pt>
                <c:pt idx="10">
                  <c:v>54</c:v>
                </c:pt>
                <c:pt idx="11">
                  <c:v>75</c:v>
                </c:pt>
                <c:pt idx="12">
                  <c:v>67</c:v>
                </c:pt>
                <c:pt idx="13">
                  <c:v>55</c:v>
                </c:pt>
                <c:pt idx="14">
                  <c:v>66</c:v>
                </c:pt>
                <c:pt idx="15">
                  <c:v>67</c:v>
                </c:pt>
                <c:pt idx="16">
                  <c:v>64</c:v>
                </c:pt>
                <c:pt idx="17">
                  <c:v>80</c:v>
                </c:pt>
                <c:pt idx="18">
                  <c:v>62</c:v>
                </c:pt>
                <c:pt idx="19">
                  <c:v>62</c:v>
                </c:pt>
                <c:pt idx="20">
                  <c:v>51</c:v>
                </c:pt>
                <c:pt idx="21">
                  <c:v>66</c:v>
                </c:pt>
                <c:pt idx="22">
                  <c:v>53</c:v>
                </c:pt>
                <c:pt idx="23">
                  <c:v>62</c:v>
                </c:pt>
                <c:pt idx="24">
                  <c:v>67</c:v>
                </c:pt>
                <c:pt idx="25">
                  <c:v>63</c:v>
                </c:pt>
                <c:pt idx="26">
                  <c:v>64</c:v>
                </c:pt>
                <c:pt idx="27">
                  <c:v>63</c:v>
                </c:pt>
                <c:pt idx="28">
                  <c:v>66</c:v>
                </c:pt>
                <c:pt idx="29">
                  <c:v>66</c:v>
                </c:pt>
                <c:pt idx="30">
                  <c:v>67</c:v>
                </c:pt>
                <c:pt idx="31">
                  <c:v>59</c:v>
                </c:pt>
                <c:pt idx="32">
                  <c:v>78</c:v>
                </c:pt>
                <c:pt idx="33">
                  <c:v>55</c:v>
                </c:pt>
                <c:pt idx="34">
                  <c:v>64</c:v>
                </c:pt>
                <c:pt idx="35">
                  <c:v>64</c:v>
                </c:pt>
                <c:pt idx="36">
                  <c:v>58</c:v>
                </c:pt>
                <c:pt idx="37">
                  <c:v>63</c:v>
                </c:pt>
                <c:pt idx="38">
                  <c:v>69</c:v>
                </c:pt>
                <c:pt idx="39">
                  <c:v>76</c:v>
                </c:pt>
                <c:pt idx="40">
                  <c:v>71</c:v>
                </c:pt>
                <c:pt idx="41">
                  <c:v>75</c:v>
                </c:pt>
                <c:pt idx="42">
                  <c:v>56</c:v>
                </c:pt>
                <c:pt idx="43">
                  <c:v>58</c:v>
                </c:pt>
                <c:pt idx="44">
                  <c:v>72</c:v>
                </c:pt>
                <c:pt idx="45">
                  <c:v>66</c:v>
                </c:pt>
                <c:pt idx="46">
                  <c:v>57</c:v>
                </c:pt>
                <c:pt idx="47">
                  <c:v>66</c:v>
                </c:pt>
                <c:pt idx="48">
                  <c:v>60</c:v>
                </c:pt>
                <c:pt idx="49">
                  <c:v>71</c:v>
                </c:pt>
                <c:pt idx="50">
                  <c:v>73</c:v>
                </c:pt>
                <c:pt idx="51">
                  <c:v>62</c:v>
                </c:pt>
                <c:pt idx="52">
                  <c:v>64</c:v>
                </c:pt>
                <c:pt idx="53">
                  <c:v>59</c:v>
                </c:pt>
                <c:pt idx="54">
                  <c:v>62</c:v>
                </c:pt>
                <c:pt idx="55">
                  <c:v>60</c:v>
                </c:pt>
                <c:pt idx="56">
                  <c:v>70</c:v>
                </c:pt>
                <c:pt idx="57">
                  <c:v>71</c:v>
                </c:pt>
                <c:pt idx="58">
                  <c:v>71</c:v>
                </c:pt>
                <c:pt idx="59">
                  <c:v>61</c:v>
                </c:pt>
                <c:pt idx="60">
                  <c:v>76</c:v>
                </c:pt>
                <c:pt idx="61">
                  <c:v>70</c:v>
                </c:pt>
                <c:pt idx="62">
                  <c:v>54</c:v>
                </c:pt>
                <c:pt idx="63">
                  <c:v>77</c:v>
                </c:pt>
                <c:pt idx="64">
                  <c:v>71</c:v>
                </c:pt>
                <c:pt idx="65">
                  <c:v>58</c:v>
                </c:pt>
                <c:pt idx="66">
                  <c:v>67</c:v>
                </c:pt>
                <c:pt idx="67">
                  <c:v>68</c:v>
                </c:pt>
                <c:pt idx="68">
                  <c:v>51</c:v>
                </c:pt>
                <c:pt idx="69">
                  <c:v>65</c:v>
                </c:pt>
                <c:pt idx="70">
                  <c:v>76</c:v>
                </c:pt>
                <c:pt idx="71">
                  <c:v>50</c:v>
                </c:pt>
                <c:pt idx="72">
                  <c:v>61</c:v>
                </c:pt>
                <c:pt idx="73">
                  <c:v>61</c:v>
                </c:pt>
                <c:pt idx="74">
                  <c:v>59</c:v>
                </c:pt>
                <c:pt idx="75">
                  <c:v>61</c:v>
                </c:pt>
                <c:pt idx="76">
                  <c:v>77</c:v>
                </c:pt>
                <c:pt idx="77">
                  <c:v>60</c:v>
                </c:pt>
                <c:pt idx="78">
                  <c:v>71</c:v>
                </c:pt>
                <c:pt idx="79">
                  <c:v>68</c:v>
                </c:pt>
                <c:pt idx="80">
                  <c:v>69</c:v>
                </c:pt>
                <c:pt idx="81">
                  <c:v>64</c:v>
                </c:pt>
                <c:pt idx="82">
                  <c:v>78</c:v>
                </c:pt>
                <c:pt idx="83">
                  <c:v>77</c:v>
                </c:pt>
                <c:pt idx="84">
                  <c:v>67</c:v>
                </c:pt>
                <c:pt idx="85">
                  <c:v>60</c:v>
                </c:pt>
                <c:pt idx="86">
                  <c:v>57</c:v>
                </c:pt>
                <c:pt idx="87">
                  <c:v>68</c:v>
                </c:pt>
                <c:pt idx="88">
                  <c:v>80</c:v>
                </c:pt>
                <c:pt idx="89">
                  <c:v>74</c:v>
                </c:pt>
                <c:pt idx="90">
                  <c:v>66</c:v>
                </c:pt>
                <c:pt idx="91">
                  <c:v>75</c:v>
                </c:pt>
                <c:pt idx="92">
                  <c:v>66</c:v>
                </c:pt>
                <c:pt idx="93">
                  <c:v>67</c:v>
                </c:pt>
                <c:pt idx="94">
                  <c:v>66</c:v>
                </c:pt>
                <c:pt idx="95">
                  <c:v>80</c:v>
                </c:pt>
                <c:pt idx="96">
                  <c:v>62</c:v>
                </c:pt>
                <c:pt idx="97">
                  <c:v>64</c:v>
                </c:pt>
                <c:pt idx="98">
                  <c:v>67</c:v>
                </c:pt>
                <c:pt idx="99">
                  <c:v>64</c:v>
                </c:pt>
                <c:pt idx="100">
                  <c:v>61</c:v>
                </c:pt>
                <c:pt idx="101">
                  <c:v>66</c:v>
                </c:pt>
                <c:pt idx="102">
                  <c:v>80</c:v>
                </c:pt>
                <c:pt idx="103">
                  <c:v>64</c:v>
                </c:pt>
                <c:pt idx="104">
                  <c:v>75</c:v>
                </c:pt>
                <c:pt idx="105">
                  <c:v>63</c:v>
                </c:pt>
                <c:pt idx="106">
                  <c:v>71</c:v>
                </c:pt>
                <c:pt idx="107">
                  <c:v>69</c:v>
                </c:pt>
                <c:pt idx="108">
                  <c:v>71</c:v>
                </c:pt>
                <c:pt idx="109">
                  <c:v>78</c:v>
                </c:pt>
                <c:pt idx="110">
                  <c:v>65</c:v>
                </c:pt>
                <c:pt idx="111">
                  <c:v>69</c:v>
                </c:pt>
                <c:pt idx="112">
                  <c:v>61</c:v>
                </c:pt>
                <c:pt idx="113">
                  <c:v>62</c:v>
                </c:pt>
                <c:pt idx="114">
                  <c:v>60</c:v>
                </c:pt>
                <c:pt idx="115">
                  <c:v>64</c:v>
                </c:pt>
                <c:pt idx="116">
                  <c:v>60</c:v>
                </c:pt>
                <c:pt idx="117">
                  <c:v>71</c:v>
                </c:pt>
                <c:pt idx="118">
                  <c:v>60</c:v>
                </c:pt>
                <c:pt idx="119">
                  <c:v>65</c:v>
                </c:pt>
                <c:pt idx="120">
                  <c:v>62</c:v>
                </c:pt>
                <c:pt idx="121">
                  <c:v>63</c:v>
                </c:pt>
                <c:pt idx="122">
                  <c:v>67</c:v>
                </c:pt>
                <c:pt idx="123">
                  <c:v>61</c:v>
                </c:pt>
                <c:pt idx="124">
                  <c:v>69</c:v>
                </c:pt>
                <c:pt idx="125">
                  <c:v>65</c:v>
                </c:pt>
                <c:pt idx="126">
                  <c:v>70</c:v>
                </c:pt>
                <c:pt idx="127">
                  <c:v>74</c:v>
                </c:pt>
                <c:pt idx="128">
                  <c:v>75</c:v>
                </c:pt>
                <c:pt idx="129">
                  <c:v>48</c:v>
                </c:pt>
                <c:pt idx="130">
                  <c:v>67</c:v>
                </c:pt>
                <c:pt idx="131">
                  <c:v>57</c:v>
                </c:pt>
                <c:pt idx="132">
                  <c:v>53</c:v>
                </c:pt>
                <c:pt idx="133">
                  <c:v>66</c:v>
                </c:pt>
                <c:pt idx="134">
                  <c:v>60</c:v>
                </c:pt>
                <c:pt idx="135">
                  <c:v>62</c:v>
                </c:pt>
                <c:pt idx="136">
                  <c:v>67</c:v>
                </c:pt>
                <c:pt idx="137">
                  <c:v>66</c:v>
                </c:pt>
                <c:pt idx="138">
                  <c:v>68</c:v>
                </c:pt>
                <c:pt idx="139">
                  <c:v>54</c:v>
                </c:pt>
                <c:pt idx="140">
                  <c:v>63</c:v>
                </c:pt>
                <c:pt idx="141">
                  <c:v>67</c:v>
                </c:pt>
                <c:pt idx="142">
                  <c:v>64</c:v>
                </c:pt>
                <c:pt idx="143">
                  <c:v>67</c:v>
                </c:pt>
                <c:pt idx="144">
                  <c:v>61</c:v>
                </c:pt>
                <c:pt idx="145">
                  <c:v>69</c:v>
                </c:pt>
                <c:pt idx="146">
                  <c:v>62</c:v>
                </c:pt>
                <c:pt idx="147">
                  <c:v>72</c:v>
                </c:pt>
                <c:pt idx="148">
                  <c:v>66</c:v>
                </c:pt>
                <c:pt idx="149">
                  <c:v>65</c:v>
                </c:pt>
                <c:pt idx="150">
                  <c:v>60</c:v>
                </c:pt>
                <c:pt idx="151">
                  <c:v>73</c:v>
                </c:pt>
                <c:pt idx="152">
                  <c:v>57</c:v>
                </c:pt>
                <c:pt idx="153">
                  <c:v>68</c:v>
                </c:pt>
                <c:pt idx="154">
                  <c:v>63</c:v>
                </c:pt>
                <c:pt idx="155">
                  <c:v>60</c:v>
                </c:pt>
                <c:pt idx="156">
                  <c:v>67</c:v>
                </c:pt>
                <c:pt idx="157">
                  <c:v>65</c:v>
                </c:pt>
                <c:pt idx="158">
                  <c:v>67</c:v>
                </c:pt>
                <c:pt idx="159">
                  <c:v>55</c:v>
                </c:pt>
                <c:pt idx="160">
                  <c:v>60</c:v>
                </c:pt>
                <c:pt idx="161">
                  <c:v>72</c:v>
                </c:pt>
                <c:pt idx="162">
                  <c:v>61</c:v>
                </c:pt>
                <c:pt idx="163">
                  <c:v>63</c:v>
                </c:pt>
                <c:pt idx="164">
                  <c:v>61</c:v>
                </c:pt>
                <c:pt idx="165">
                  <c:v>59</c:v>
                </c:pt>
                <c:pt idx="166">
                  <c:v>70</c:v>
                </c:pt>
                <c:pt idx="167">
                  <c:v>61</c:v>
                </c:pt>
                <c:pt idx="168">
                  <c:v>55</c:v>
                </c:pt>
                <c:pt idx="169">
                  <c:v>64</c:v>
                </c:pt>
                <c:pt idx="170">
                  <c:v>73</c:v>
                </c:pt>
                <c:pt idx="171">
                  <c:v>56</c:v>
                </c:pt>
                <c:pt idx="172">
                  <c:v>51</c:v>
                </c:pt>
                <c:pt idx="173">
                  <c:v>61</c:v>
                </c:pt>
                <c:pt idx="174">
                  <c:v>67</c:v>
                </c:pt>
                <c:pt idx="175">
                  <c:v>63</c:v>
                </c:pt>
                <c:pt idx="176">
                  <c:v>71</c:v>
                </c:pt>
                <c:pt idx="177">
                  <c:v>52</c:v>
                </c:pt>
                <c:pt idx="178">
                  <c:v>55</c:v>
                </c:pt>
                <c:pt idx="179">
                  <c:v>70</c:v>
                </c:pt>
                <c:pt idx="180">
                  <c:v>63</c:v>
                </c:pt>
                <c:pt idx="181">
                  <c:v>62</c:v>
                </c:pt>
                <c:pt idx="182">
                  <c:v>73</c:v>
                </c:pt>
                <c:pt idx="183">
                  <c:v>65</c:v>
                </c:pt>
                <c:pt idx="184">
                  <c:v>63</c:v>
                </c:pt>
                <c:pt idx="185">
                  <c:v>63</c:v>
                </c:pt>
                <c:pt idx="186">
                  <c:v>67</c:v>
                </c:pt>
                <c:pt idx="187">
                  <c:v>66</c:v>
                </c:pt>
                <c:pt idx="188">
                  <c:v>64</c:v>
                </c:pt>
                <c:pt idx="189">
                  <c:v>67</c:v>
                </c:pt>
                <c:pt idx="190">
                  <c:v>72</c:v>
                </c:pt>
                <c:pt idx="191">
                  <c:v>64</c:v>
                </c:pt>
                <c:pt idx="192">
                  <c:v>70</c:v>
                </c:pt>
                <c:pt idx="193">
                  <c:v>66</c:v>
                </c:pt>
                <c:pt idx="194">
                  <c:v>65</c:v>
                </c:pt>
                <c:pt idx="195">
                  <c:v>62</c:v>
                </c:pt>
                <c:pt idx="196">
                  <c:v>61</c:v>
                </c:pt>
                <c:pt idx="197">
                  <c:v>76</c:v>
                </c:pt>
                <c:pt idx="198">
                  <c:v>76</c:v>
                </c:pt>
                <c:pt idx="199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5F-4296-8659-54A8378EB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428287"/>
        <c:axId val="402428767"/>
      </c:scatterChart>
      <c:valAx>
        <c:axId val="40242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428767"/>
        <c:crosses val="autoZero"/>
        <c:crossBetween val="midCat"/>
      </c:valAx>
      <c:valAx>
        <c:axId val="4024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42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Линия</a:t>
            </a:r>
            <a:r>
              <a:rPr lang="ru-RU" baseline="0"/>
              <a:t> регрессии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'14'!$O$4:$R$4</c:f>
              <c:numCache>
                <c:formatCode>General</c:formatCode>
                <c:ptCount val="4"/>
                <c:pt idx="0">
                  <c:v>156</c:v>
                </c:pt>
                <c:pt idx="1">
                  <c:v>165.3</c:v>
                </c:pt>
                <c:pt idx="2">
                  <c:v>170.8</c:v>
                </c:pt>
                <c:pt idx="3">
                  <c:v>197.5</c:v>
                </c:pt>
              </c:numCache>
            </c:numRef>
          </c:xVal>
          <c:yVal>
            <c:numRef>
              <c:f>'14'!$O$3:$R$3</c:f>
              <c:numCache>
                <c:formatCode>General</c:formatCode>
                <c:ptCount val="4"/>
                <c:pt idx="0">
                  <c:v>57.084796962166351</c:v>
                </c:pt>
                <c:pt idx="1">
                  <c:v>62.722074431206252</c:v>
                </c:pt>
                <c:pt idx="2">
                  <c:v>66.055948203219089</c:v>
                </c:pt>
                <c:pt idx="3">
                  <c:v>82.240389969172341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BD-4CED-82DD-383277DE810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'14'!$C$4</c:f>
              <c:numCache>
                <c:formatCode>General</c:formatCode>
                <c:ptCount val="1"/>
                <c:pt idx="0">
                  <c:v>158</c:v>
                </c:pt>
              </c:numCache>
            </c:numRef>
          </c:xVal>
          <c:yVal>
            <c:numRef>
              <c:f>'14'!$C$3</c:f>
              <c:numCache>
                <c:formatCode>General</c:formatCode>
                <c:ptCount val="1"/>
                <c:pt idx="0">
                  <c:v>56.872727272727282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BD-4CED-82DD-383277DE810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'14'!$D$4</c:f>
              <c:numCache>
                <c:formatCode>General</c:formatCode>
                <c:ptCount val="1"/>
                <c:pt idx="0">
                  <c:v>162</c:v>
                </c:pt>
              </c:numCache>
            </c:numRef>
          </c:xVal>
          <c:yVal>
            <c:numRef>
              <c:f>'14'!$D$3</c:f>
              <c:numCache>
                <c:formatCode>General</c:formatCode>
                <c:ptCount val="1"/>
                <c:pt idx="0">
                  <c:v>59.490909090909099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BD-4CED-82DD-383277DE810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'14'!$E$4</c:f>
              <c:numCache>
                <c:formatCode>General</c:formatCode>
                <c:ptCount val="1"/>
                <c:pt idx="0">
                  <c:v>166</c:v>
                </c:pt>
              </c:numCache>
            </c:numRef>
          </c:xVal>
          <c:yVal>
            <c:numRef>
              <c:f>'14'!$E$3</c:f>
              <c:numCache>
                <c:formatCode>General</c:formatCode>
                <c:ptCount val="1"/>
                <c:pt idx="0">
                  <c:v>63.35319148936172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4BD-4CED-82DD-383277DE810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'14'!$F$4</c:f>
              <c:numCache>
                <c:formatCode>General</c:formatCode>
                <c:ptCount val="1"/>
                <c:pt idx="0">
                  <c:v>170</c:v>
                </c:pt>
              </c:numCache>
            </c:numRef>
          </c:xVal>
          <c:yVal>
            <c:numRef>
              <c:f>'14'!$F$3</c:f>
              <c:numCache>
                <c:formatCode>General</c:formatCode>
                <c:ptCount val="1"/>
                <c:pt idx="0">
                  <c:v>66.442105263157913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4BD-4CED-82DD-383277DE810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'14'!$G$4</c:f>
              <c:numCache>
                <c:formatCode>General</c:formatCode>
                <c:ptCount val="1"/>
                <c:pt idx="0">
                  <c:v>174</c:v>
                </c:pt>
              </c:numCache>
            </c:numRef>
          </c:xVal>
          <c:yVal>
            <c:numRef>
              <c:f>'14'!$G$3</c:f>
              <c:numCache>
                <c:formatCode>General</c:formatCode>
                <c:ptCount val="1"/>
                <c:pt idx="0">
                  <c:v>68.562962962962985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4BD-4CED-82DD-383277DE810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'14'!$H$4</c:f>
              <c:numCache>
                <c:formatCode>General</c:formatCode>
                <c:ptCount val="1"/>
                <c:pt idx="0">
                  <c:v>178</c:v>
                </c:pt>
              </c:numCache>
            </c:numRef>
          </c:xVal>
          <c:yVal>
            <c:numRef>
              <c:f>'14'!$H$3</c:f>
              <c:numCache>
                <c:formatCode>General</c:formatCode>
                <c:ptCount val="1"/>
                <c:pt idx="0">
                  <c:v>71.157894736842124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4BD-4CED-82DD-383277DE810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'14'!$I$4</c:f>
              <c:numCache>
                <c:formatCode>General</c:formatCode>
                <c:ptCount val="1"/>
                <c:pt idx="0">
                  <c:v>182</c:v>
                </c:pt>
              </c:numCache>
            </c:numRef>
          </c:xVal>
          <c:yVal>
            <c:numRef>
              <c:f>'14'!$I$3</c:f>
              <c:numCache>
                <c:formatCode>General</c:formatCode>
                <c:ptCount val="1"/>
                <c:pt idx="0">
                  <c:v>69.866666666666688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4BD-4CED-82DD-383277DE8105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'14'!$J$4</c:f>
              <c:numCache>
                <c:formatCode>General</c:formatCode>
                <c:ptCount val="1"/>
                <c:pt idx="0">
                  <c:v>186</c:v>
                </c:pt>
              </c:numCache>
            </c:numRef>
          </c:xVal>
          <c:yVal>
            <c:numRef>
              <c:f>'14'!$J$3</c:f>
              <c:numCache>
                <c:formatCode>General</c:formatCode>
                <c:ptCount val="1"/>
                <c:pt idx="0">
                  <c:v>72.000000000000028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4BD-4CED-82DD-383277DE8105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'14'!$K$4</c:f>
              <c:numCache>
                <c:formatCode>General</c:formatCode>
                <c:ptCount val="1"/>
                <c:pt idx="0">
                  <c:v>190</c:v>
                </c:pt>
              </c:numCache>
            </c:numRef>
          </c:xVal>
          <c:yVal>
            <c:numRef>
              <c:f>'14'!$K$3</c:f>
              <c:numCache>
                <c:formatCode>General</c:formatCode>
                <c:ptCount val="1"/>
                <c:pt idx="0">
                  <c:v>78.400000000000034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4BD-4CED-82DD-383277DE8105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'14'!$L$4</c:f>
              <c:numCache>
                <c:formatCode>General</c:formatCode>
                <c:ptCount val="1"/>
                <c:pt idx="0">
                  <c:v>194</c:v>
                </c:pt>
              </c:numCache>
            </c:numRef>
          </c:xVal>
          <c:yVal>
            <c:numRef>
              <c:f>'14'!$L$3</c:f>
              <c:numCache>
                <c:formatCode>General</c:formatCode>
                <c:ptCount val="1"/>
                <c:pt idx="0">
                  <c:v>59.20000000000001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4BD-4CED-82DD-383277DE8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446735"/>
        <c:axId val="414446255"/>
      </c:scatterChart>
      <c:valAx>
        <c:axId val="414446735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4446255"/>
        <c:crosses val="autoZero"/>
        <c:crossBetween val="midCat"/>
        <c:majorUnit val="3"/>
      </c:valAx>
      <c:valAx>
        <c:axId val="414446255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4446735"/>
        <c:crosses val="autoZero"/>
        <c:crossBetween val="midCat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18</xdr:row>
      <xdr:rowOff>7384</xdr:rowOff>
    </xdr:from>
    <xdr:to>
      <xdr:col>5</xdr:col>
      <xdr:colOff>4762500</xdr:colOff>
      <xdr:row>19</xdr:row>
      <xdr:rowOff>4873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8D54F31-D8A0-0AFB-1FE7-A31759863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4244" y="3433431"/>
          <a:ext cx="4762500" cy="190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4943370</xdr:colOff>
      <xdr:row>11</xdr:row>
      <xdr:rowOff>172078</xdr:rowOff>
    </xdr:from>
    <xdr:to>
      <xdr:col>5</xdr:col>
      <xdr:colOff>5508520</xdr:colOff>
      <xdr:row>13</xdr:row>
      <xdr:rowOff>2093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94DED7C-057E-C66E-DF7E-ED1B59290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810" y="2181748"/>
          <a:ext cx="565150" cy="206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5090677</xdr:colOff>
      <xdr:row>13</xdr:row>
      <xdr:rowOff>0</xdr:rowOff>
    </xdr:from>
    <xdr:to>
      <xdr:col>5</xdr:col>
      <xdr:colOff>5255777</xdr:colOff>
      <xdr:row>14</xdr:row>
      <xdr:rowOff>12700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B5543535-E4C2-518D-0C93-16230937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6117" y="2386484"/>
          <a:ext cx="165100" cy="20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2692400</xdr:colOff>
      <xdr:row>13</xdr:row>
      <xdr:rowOff>190500</xdr:rowOff>
    </xdr:from>
    <xdr:to>
      <xdr:col>5</xdr:col>
      <xdr:colOff>2857500</xdr:colOff>
      <xdr:row>15</xdr:row>
      <xdr:rowOff>6350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3454D9F-CC3C-3052-C89B-9F5F5ECA2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2609850"/>
          <a:ext cx="1651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5168132</xdr:colOff>
      <xdr:row>14</xdr:row>
      <xdr:rowOff>12700</xdr:rowOff>
    </xdr:from>
    <xdr:to>
      <xdr:col>5</xdr:col>
      <xdr:colOff>5257032</xdr:colOff>
      <xdr:row>15</xdr:row>
      <xdr:rowOff>19050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81A77AC1-A18E-BC21-563D-28FD0C95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3572" y="2594568"/>
          <a:ext cx="88900" cy="201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2705100</xdr:colOff>
      <xdr:row>15</xdr:row>
      <xdr:rowOff>6350</xdr:rowOff>
    </xdr:from>
    <xdr:to>
      <xdr:col>5</xdr:col>
      <xdr:colOff>2870200</xdr:colOff>
      <xdr:row>16</xdr:row>
      <xdr:rowOff>19050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9F4D4C91-5270-3DCA-4EC9-058BAAA32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819400"/>
          <a:ext cx="1651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5031154</xdr:colOff>
      <xdr:row>15</xdr:row>
      <xdr:rowOff>6978</xdr:rowOff>
    </xdr:from>
    <xdr:to>
      <xdr:col>5</xdr:col>
      <xdr:colOff>5570904</xdr:colOff>
      <xdr:row>16</xdr:row>
      <xdr:rowOff>13328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2733173C-A058-3095-4CC2-7D793E996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6594" y="2784231"/>
          <a:ext cx="539750" cy="201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107797</xdr:rowOff>
    </xdr:from>
    <xdr:to>
      <xdr:col>1</xdr:col>
      <xdr:colOff>128836</xdr:colOff>
      <xdr:row>17</xdr:row>
      <xdr:rowOff>88747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4BA11AC-F503-C355-871A-02F78C44C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19479</xdr:colOff>
      <xdr:row>17</xdr:row>
      <xdr:rowOff>133350</xdr:rowOff>
    </xdr:from>
    <xdr:to>
      <xdr:col>1</xdr:col>
      <xdr:colOff>130175</xdr:colOff>
      <xdr:row>32</xdr:row>
      <xdr:rowOff>109151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95C90D9-E9BA-7CDF-76E3-5110A37B8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32</xdr:row>
      <xdr:rowOff>152400</xdr:rowOff>
    </xdr:from>
    <xdr:to>
      <xdr:col>1</xdr:col>
      <xdr:colOff>136525</xdr:colOff>
      <xdr:row>47</xdr:row>
      <xdr:rowOff>133350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7582ED3-D2C2-08F2-FBE1-9A4C0700C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20484</xdr:colOff>
      <xdr:row>6</xdr:row>
      <xdr:rowOff>184354</xdr:rowOff>
    </xdr:from>
    <xdr:to>
      <xdr:col>0</xdr:col>
      <xdr:colOff>4824634</xdr:colOff>
      <xdr:row>15</xdr:row>
      <xdr:rowOff>152339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5E1935F-AA22-1ACD-8A72-7D7B89360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84" y="1358763"/>
          <a:ext cx="4888817" cy="1762371"/>
        </a:xfrm>
        <a:prstGeom prst="rect">
          <a:avLst/>
        </a:prstGeom>
      </xdr:spPr>
    </xdr:pic>
    <xdr:clientData/>
  </xdr:twoCellAnchor>
  <xdr:twoCellAnchor editAs="oneCell">
    <xdr:from>
      <xdr:col>0</xdr:col>
      <xdr:colOff>20484</xdr:colOff>
      <xdr:row>18</xdr:row>
      <xdr:rowOff>177527</xdr:rowOff>
    </xdr:from>
    <xdr:to>
      <xdr:col>0</xdr:col>
      <xdr:colOff>4824634</xdr:colOff>
      <xdr:row>27</xdr:row>
      <xdr:rowOff>119598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895275D-CE7D-F95F-277D-A587E7DB7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84" y="3646129"/>
          <a:ext cx="4888817" cy="17528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3</xdr:row>
      <xdr:rowOff>176297</xdr:rowOff>
    </xdr:from>
    <xdr:to>
      <xdr:col>0</xdr:col>
      <xdr:colOff>4274820</xdr:colOff>
      <xdr:row>10</xdr:row>
      <xdr:rowOff>158989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8F66C7B-B50B-7432-1EC4-000E0D42D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728747"/>
          <a:ext cx="4330700" cy="1379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5325</xdr:rowOff>
    </xdr:from>
    <xdr:to>
      <xdr:col>0</xdr:col>
      <xdr:colOff>4281170</xdr:colOff>
      <xdr:row>20</xdr:row>
      <xdr:rowOff>148821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21130E5-FB9A-86D1-950B-1CF391A01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3425"/>
          <a:ext cx="4362450" cy="13411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4899951</xdr:colOff>
      <xdr:row>2</xdr:row>
      <xdr:rowOff>172078</xdr:rowOff>
    </xdr:from>
    <xdr:to>
      <xdr:col>1</xdr:col>
      <xdr:colOff>32564</xdr:colOff>
      <xdr:row>4</xdr:row>
      <xdr:rowOff>57937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BC402BE-D13F-41DC-B6FF-ADD39FE2B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9951" y="541138"/>
          <a:ext cx="353724" cy="265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5090677</xdr:colOff>
      <xdr:row>4</xdr:row>
      <xdr:rowOff>0</xdr:rowOff>
    </xdr:from>
    <xdr:to>
      <xdr:col>0</xdr:col>
      <xdr:colOff>5255777</xdr:colOff>
      <xdr:row>5</xdr:row>
      <xdr:rowOff>12700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1A01CFF-759A-4556-9CB0-877B80CA4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8677" y="2419350"/>
          <a:ext cx="1651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2692400</xdr:colOff>
      <xdr:row>4</xdr:row>
      <xdr:rowOff>190500</xdr:rowOff>
    </xdr:from>
    <xdr:to>
      <xdr:col>0</xdr:col>
      <xdr:colOff>2857500</xdr:colOff>
      <xdr:row>6</xdr:row>
      <xdr:rowOff>6350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919B759-4929-49B6-B786-1D7B54E08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2609850"/>
          <a:ext cx="1651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5168132</xdr:colOff>
      <xdr:row>5</xdr:row>
      <xdr:rowOff>12700</xdr:rowOff>
    </xdr:from>
    <xdr:to>
      <xdr:col>0</xdr:col>
      <xdr:colOff>5257032</xdr:colOff>
      <xdr:row>6</xdr:row>
      <xdr:rowOff>19050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DA405C8-6E6B-4B4C-BDB1-105B1D3AA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6132" y="2628900"/>
          <a:ext cx="889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2705100</xdr:colOff>
      <xdr:row>6</xdr:row>
      <xdr:rowOff>6350</xdr:rowOff>
    </xdr:from>
    <xdr:to>
      <xdr:col>0</xdr:col>
      <xdr:colOff>2870200</xdr:colOff>
      <xdr:row>7</xdr:row>
      <xdr:rowOff>19050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70B3EAD-88BE-4E34-A6FF-4971F8462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819400"/>
          <a:ext cx="1651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4892380</xdr:colOff>
      <xdr:row>5</xdr:row>
      <xdr:rowOff>194316</xdr:rowOff>
    </xdr:from>
    <xdr:to>
      <xdr:col>0</xdr:col>
      <xdr:colOff>5215327</xdr:colOff>
      <xdr:row>7</xdr:row>
      <xdr:rowOff>24298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68374B6-F6BB-4D52-9706-2AA6E8351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2380" y="1141611"/>
          <a:ext cx="322947" cy="225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0</xdr:rowOff>
    </xdr:from>
    <xdr:to>
      <xdr:col>0</xdr:col>
      <xdr:colOff>4857750</xdr:colOff>
      <xdr:row>4</xdr:row>
      <xdr:rowOff>189229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341903D-1E1E-4162-8214-43EE6AB20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49300"/>
          <a:ext cx="4762500" cy="19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14242</xdr:rowOff>
    </xdr:from>
    <xdr:to>
      <xdr:col>2</xdr:col>
      <xdr:colOff>319998</xdr:colOff>
      <xdr:row>1</xdr:row>
      <xdr:rowOff>26826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9C440A9-54DB-4921-ADCD-E1298749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42"/>
          <a:ext cx="4835026" cy="21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1</xdr:row>
      <xdr:rowOff>12700</xdr:rowOff>
    </xdr:from>
    <xdr:to>
      <xdr:col>11</xdr:col>
      <xdr:colOff>339725</xdr:colOff>
      <xdr:row>15</xdr:row>
      <xdr:rowOff>177800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2C4B17C-F602-A3DC-5E0E-E87869AB9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610156</xdr:colOff>
      <xdr:row>5</xdr:row>
      <xdr:rowOff>8839</xdr:rowOff>
    </xdr:from>
    <xdr:to>
      <xdr:col>18</xdr:col>
      <xdr:colOff>15301</xdr:colOff>
      <xdr:row>29</xdr:row>
      <xdr:rowOff>22952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5FADFB7-19B5-3A68-15DD-37DACC108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ziz\OneDrive\&#1056;&#1072;&#1073;&#1086;&#1095;&#1080;&#1081;%20&#1089;&#1090;&#1086;&#1083;\&#1042;&#1090;&#1086;&#1088;&#1086;&#1081;%20&#1082;&#1091;&#1088;&#1089;\&#1052;&#1072;&#1090;&#1089;&#1090;&#1072;&#1090;..xlsx" TargetMode="External"/><Relationship Id="rId1" Type="http://schemas.openxmlformats.org/officeDocument/2006/relationships/externalLinkPath" Target="Random_Tasks/&#1052;&#1072;&#1090;&#1089;&#1090;&#1072;&#1090;/&#1052;&#1072;&#1090;&#1089;&#1090;&#1072;&#1090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.1"/>
      <sheetName val="2.1ДЗ"/>
      <sheetName val="Данные"/>
      <sheetName val="Дан K2.1"/>
      <sheetName val="Дан K2.3"/>
      <sheetName val="Таб 1"/>
      <sheetName val="Приложение"/>
    </sheetNames>
    <sheetDataSet>
      <sheetData sheetId="0">
        <row r="9">
          <cell r="B9">
            <v>20</v>
          </cell>
        </row>
        <row r="10">
          <cell r="B10">
            <v>50</v>
          </cell>
        </row>
        <row r="11">
          <cell r="B11">
            <v>80</v>
          </cell>
        </row>
        <row r="12">
          <cell r="B12">
            <v>35</v>
          </cell>
        </row>
        <row r="13">
          <cell r="B13">
            <v>115</v>
          </cell>
        </row>
        <row r="14">
          <cell r="B14">
            <v>40</v>
          </cell>
        </row>
        <row r="15">
          <cell r="B15">
            <v>40</v>
          </cell>
        </row>
        <row r="16">
          <cell r="B16">
            <v>50</v>
          </cell>
        </row>
        <row r="17">
          <cell r="B17">
            <v>30</v>
          </cell>
        </row>
        <row r="18">
          <cell r="B18">
            <v>35</v>
          </cell>
        </row>
        <row r="19">
          <cell r="B19">
            <v>70</v>
          </cell>
        </row>
        <row r="20">
          <cell r="B20">
            <v>120</v>
          </cell>
        </row>
        <row r="21">
          <cell r="B21">
            <v>100</v>
          </cell>
        </row>
        <row r="22">
          <cell r="B22">
            <v>70</v>
          </cell>
        </row>
        <row r="23">
          <cell r="B23">
            <v>65</v>
          </cell>
        </row>
        <row r="24">
          <cell r="B24">
            <v>80</v>
          </cell>
        </row>
        <row r="25">
          <cell r="B25">
            <v>150</v>
          </cell>
        </row>
        <row r="26">
          <cell r="B26">
            <v>50</v>
          </cell>
        </row>
        <row r="27">
          <cell r="B27">
            <v>60</v>
          </cell>
        </row>
        <row r="28">
          <cell r="B28">
            <v>50</v>
          </cell>
        </row>
        <row r="29">
          <cell r="B29">
            <v>60</v>
          </cell>
        </row>
        <row r="30">
          <cell r="B30">
            <v>90</v>
          </cell>
        </row>
        <row r="31">
          <cell r="B31">
            <v>40</v>
          </cell>
        </row>
        <row r="32">
          <cell r="B32">
            <v>25</v>
          </cell>
        </row>
        <row r="33">
          <cell r="B33">
            <v>85</v>
          </cell>
        </row>
        <row r="34">
          <cell r="B34">
            <v>75</v>
          </cell>
        </row>
        <row r="35">
          <cell r="B35">
            <v>175</v>
          </cell>
        </row>
        <row r="36">
          <cell r="B36">
            <v>100</v>
          </cell>
        </row>
        <row r="37">
          <cell r="B37">
            <v>40</v>
          </cell>
        </row>
        <row r="38">
          <cell r="B38">
            <v>50</v>
          </cell>
        </row>
        <row r="39">
          <cell r="B39">
            <v>75</v>
          </cell>
        </row>
        <row r="40">
          <cell r="B40">
            <v>25</v>
          </cell>
        </row>
        <row r="41">
          <cell r="B41">
            <v>95</v>
          </cell>
        </row>
        <row r="42">
          <cell r="B42">
            <v>60</v>
          </cell>
        </row>
        <row r="43">
          <cell r="B43">
            <v>70</v>
          </cell>
        </row>
        <row r="44">
          <cell r="B44">
            <v>85</v>
          </cell>
        </row>
        <row r="45">
          <cell r="B45">
            <v>170</v>
          </cell>
        </row>
        <row r="46">
          <cell r="B46">
            <v>120</v>
          </cell>
        </row>
        <row r="47">
          <cell r="B47">
            <v>160</v>
          </cell>
        </row>
        <row r="48">
          <cell r="B48">
            <v>50</v>
          </cell>
        </row>
        <row r="49">
          <cell r="B49">
            <v>80</v>
          </cell>
        </row>
        <row r="50">
          <cell r="B50">
            <v>20</v>
          </cell>
        </row>
        <row r="51">
          <cell r="B51">
            <v>55</v>
          </cell>
        </row>
        <row r="52">
          <cell r="B52">
            <v>70</v>
          </cell>
        </row>
        <row r="53">
          <cell r="B53">
            <v>80</v>
          </cell>
        </row>
        <row r="54">
          <cell r="B54">
            <v>100</v>
          </cell>
        </row>
        <row r="55">
          <cell r="B55">
            <v>60</v>
          </cell>
        </row>
        <row r="56">
          <cell r="B56">
            <v>50</v>
          </cell>
        </row>
        <row r="57">
          <cell r="B57">
            <v>70</v>
          </cell>
        </row>
        <row r="58">
          <cell r="B58">
            <v>160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zoomScale="86" workbookViewId="0">
      <selection activeCell="J8" sqref="J8"/>
    </sheetView>
  </sheetViews>
  <sheetFormatPr defaultRowHeight="14.4" x14ac:dyDescent="0.3"/>
  <cols>
    <col min="6" max="6" width="120.21875" bestFit="1" customWidth="1"/>
  </cols>
  <sheetData>
    <row r="1" spans="1:7" ht="15.6" x14ac:dyDescent="0.3">
      <c r="A1" s="26" t="s">
        <v>0</v>
      </c>
      <c r="B1" s="26" t="s">
        <v>1</v>
      </c>
      <c r="C1" s="26" t="s">
        <v>2</v>
      </c>
      <c r="D1" s="7"/>
      <c r="E1" s="7"/>
      <c r="F1" s="7"/>
      <c r="G1" s="7"/>
    </row>
    <row r="2" spans="1:7" ht="15.6" x14ac:dyDescent="0.3">
      <c r="A2" s="27">
        <v>1</v>
      </c>
      <c r="B2" s="27">
        <v>165</v>
      </c>
      <c r="C2" s="27">
        <v>67</v>
      </c>
      <c r="D2" s="7"/>
      <c r="E2" s="7"/>
      <c r="F2" s="7"/>
      <c r="G2" s="7"/>
    </row>
    <row r="3" spans="1:7" ht="15.6" x14ac:dyDescent="0.3">
      <c r="A3" s="27">
        <v>2</v>
      </c>
      <c r="B3" s="27">
        <v>162</v>
      </c>
      <c r="C3" s="27">
        <v>60</v>
      </c>
      <c r="D3" s="7"/>
      <c r="E3" s="7"/>
      <c r="F3" s="7" t="s">
        <v>15</v>
      </c>
      <c r="G3" s="7"/>
    </row>
    <row r="4" spans="1:7" ht="15.6" x14ac:dyDescent="0.3">
      <c r="A4" s="27">
        <v>3</v>
      </c>
      <c r="B4" s="27">
        <v>171</v>
      </c>
      <c r="C4" s="27">
        <v>60</v>
      </c>
      <c r="D4" s="7"/>
      <c r="E4" s="7"/>
      <c r="F4" s="7" t="s">
        <v>3</v>
      </c>
      <c r="G4" s="7"/>
    </row>
    <row r="5" spans="1:7" ht="15.6" x14ac:dyDescent="0.3">
      <c r="A5" s="27">
        <v>4</v>
      </c>
      <c r="B5" s="27">
        <v>172</v>
      </c>
      <c r="C5" s="27">
        <v>72</v>
      </c>
      <c r="D5" s="7"/>
      <c r="E5" s="7"/>
      <c r="F5" s="7" t="s">
        <v>4</v>
      </c>
      <c r="G5" s="7"/>
    </row>
    <row r="6" spans="1:7" ht="15.6" x14ac:dyDescent="0.3">
      <c r="A6" s="27">
        <v>5</v>
      </c>
      <c r="B6" s="27">
        <v>171</v>
      </c>
      <c r="C6" s="27">
        <v>65</v>
      </c>
      <c r="D6" s="7"/>
      <c r="E6" s="7"/>
      <c r="F6" s="7" t="s">
        <v>5</v>
      </c>
      <c r="G6" s="7"/>
    </row>
    <row r="7" spans="1:7" ht="15.6" x14ac:dyDescent="0.3">
      <c r="A7" s="27">
        <v>6</v>
      </c>
      <c r="B7" s="27">
        <v>166</v>
      </c>
      <c r="C7" s="27">
        <v>62</v>
      </c>
      <c r="D7" s="7"/>
      <c r="E7" s="7"/>
      <c r="F7" s="7" t="s">
        <v>11</v>
      </c>
      <c r="G7" s="7"/>
    </row>
    <row r="8" spans="1:7" ht="15.6" x14ac:dyDescent="0.3">
      <c r="A8" s="27">
        <v>7</v>
      </c>
      <c r="B8" s="27">
        <v>164</v>
      </c>
      <c r="C8" s="27">
        <v>56</v>
      </c>
      <c r="D8" s="7"/>
      <c r="E8" s="7"/>
      <c r="F8" s="7" t="s">
        <v>6</v>
      </c>
      <c r="G8" s="7"/>
    </row>
    <row r="9" spans="1:7" ht="15.6" x14ac:dyDescent="0.3">
      <c r="A9" s="27">
        <v>8</v>
      </c>
      <c r="B9" s="27">
        <v>164</v>
      </c>
      <c r="C9" s="27">
        <v>63</v>
      </c>
      <c r="D9" s="7"/>
      <c r="E9" s="7"/>
      <c r="F9" s="7" t="s">
        <v>7</v>
      </c>
      <c r="G9" s="7"/>
    </row>
    <row r="10" spans="1:7" ht="15.6" x14ac:dyDescent="0.3">
      <c r="A10" s="27">
        <v>9</v>
      </c>
      <c r="B10" s="27">
        <v>169</v>
      </c>
      <c r="C10" s="27">
        <v>65</v>
      </c>
      <c r="D10" s="7"/>
      <c r="E10" s="7"/>
      <c r="F10" s="7" t="s">
        <v>8</v>
      </c>
      <c r="G10" s="7"/>
    </row>
    <row r="11" spans="1:7" ht="15.6" x14ac:dyDescent="0.3">
      <c r="A11" s="27">
        <v>10</v>
      </c>
      <c r="B11" s="27">
        <v>169</v>
      </c>
      <c r="C11" s="27">
        <v>75</v>
      </c>
      <c r="D11" s="7"/>
      <c r="E11" s="7"/>
      <c r="F11" s="7" t="s">
        <v>9</v>
      </c>
      <c r="G11" s="7"/>
    </row>
    <row r="12" spans="1:7" ht="15.6" x14ac:dyDescent="0.3">
      <c r="A12" s="27">
        <v>11</v>
      </c>
      <c r="B12" s="27">
        <v>163</v>
      </c>
      <c r="C12" s="27">
        <v>54</v>
      </c>
      <c r="D12" s="7"/>
      <c r="E12" s="7"/>
      <c r="F12" s="7" t="s">
        <v>10</v>
      </c>
      <c r="G12" s="7"/>
    </row>
    <row r="13" spans="1:7" ht="15.6" x14ac:dyDescent="0.3">
      <c r="A13" s="27">
        <v>12</v>
      </c>
      <c r="B13" s="27">
        <v>173</v>
      </c>
      <c r="C13" s="27">
        <v>75</v>
      </c>
      <c r="D13" s="7"/>
      <c r="E13" s="7"/>
      <c r="F13" s="7" t="s">
        <v>14</v>
      </c>
      <c r="G13" s="7" t="s">
        <v>12</v>
      </c>
    </row>
    <row r="14" spans="1:7" ht="15.6" x14ac:dyDescent="0.3">
      <c r="A14" s="27">
        <v>13</v>
      </c>
      <c r="B14" s="27">
        <v>176</v>
      </c>
      <c r="C14" s="27">
        <v>67</v>
      </c>
      <c r="D14" s="7"/>
      <c r="E14" s="7"/>
      <c r="F14" s="7" t="s">
        <v>13</v>
      </c>
      <c r="G14" s="7" t="s">
        <v>16</v>
      </c>
    </row>
    <row r="15" spans="1:7" ht="15.6" x14ac:dyDescent="0.3">
      <c r="A15" s="27">
        <v>14</v>
      </c>
      <c r="B15" s="27">
        <v>168</v>
      </c>
      <c r="C15" s="27">
        <v>55</v>
      </c>
      <c r="D15" s="7"/>
      <c r="E15" s="7"/>
      <c r="F15" s="7" t="s">
        <v>17</v>
      </c>
      <c r="G15" s="7" t="s">
        <v>16</v>
      </c>
    </row>
    <row r="16" spans="1:7" ht="15.6" x14ac:dyDescent="0.3">
      <c r="A16" s="27">
        <v>15</v>
      </c>
      <c r="B16" s="27">
        <v>169</v>
      </c>
      <c r="C16" s="27">
        <v>66</v>
      </c>
      <c r="D16" s="7"/>
      <c r="E16" s="7"/>
      <c r="F16" s="7" t="s">
        <v>18</v>
      </c>
      <c r="G16" s="7"/>
    </row>
    <row r="17" spans="1:7" ht="15.6" x14ac:dyDescent="0.3">
      <c r="A17" s="27">
        <v>16</v>
      </c>
      <c r="B17" s="27">
        <v>168</v>
      </c>
      <c r="C17" s="27">
        <v>67</v>
      </c>
      <c r="D17" s="7"/>
      <c r="E17" s="7"/>
      <c r="F17" s="30" t="s">
        <v>19</v>
      </c>
      <c r="G17" s="7"/>
    </row>
    <row r="18" spans="1:7" ht="15.6" x14ac:dyDescent="0.3">
      <c r="A18" s="27">
        <v>17</v>
      </c>
      <c r="B18" s="27">
        <v>166</v>
      </c>
      <c r="C18" s="27">
        <v>64</v>
      </c>
      <c r="D18" s="7"/>
      <c r="E18" s="7"/>
      <c r="F18" s="7" t="s">
        <v>20</v>
      </c>
      <c r="G18" s="7"/>
    </row>
    <row r="19" spans="1:7" ht="15.6" x14ac:dyDescent="0.3">
      <c r="A19" s="27">
        <v>18</v>
      </c>
      <c r="B19" s="27">
        <v>178</v>
      </c>
      <c r="C19" s="27">
        <v>80</v>
      </c>
      <c r="D19" s="7"/>
      <c r="E19" s="7"/>
      <c r="F19" s="7" t="s">
        <v>19</v>
      </c>
      <c r="G19" s="7"/>
    </row>
    <row r="20" spans="1:7" ht="15.6" x14ac:dyDescent="0.3">
      <c r="A20" s="27">
        <v>19</v>
      </c>
      <c r="B20" s="27">
        <v>165</v>
      </c>
      <c r="C20" s="27">
        <v>62</v>
      </c>
      <c r="D20" s="7"/>
      <c r="E20" s="7"/>
      <c r="F20" s="7" t="s">
        <v>237</v>
      </c>
      <c r="G20" s="7"/>
    </row>
    <row r="21" spans="1:7" ht="15.6" x14ac:dyDescent="0.3">
      <c r="A21" s="27">
        <v>20</v>
      </c>
      <c r="B21" s="27">
        <v>164</v>
      </c>
      <c r="C21" s="27">
        <v>62</v>
      </c>
      <c r="D21" s="7"/>
      <c r="E21" s="7"/>
      <c r="F21" s="7" t="s">
        <v>21</v>
      </c>
      <c r="G21" s="7"/>
    </row>
    <row r="22" spans="1:7" ht="15.6" x14ac:dyDescent="0.3">
      <c r="A22" s="27">
        <v>21</v>
      </c>
      <c r="B22" s="27">
        <v>161</v>
      </c>
      <c r="C22" s="27">
        <v>51</v>
      </c>
      <c r="D22" s="7"/>
      <c r="E22" s="7"/>
      <c r="F22" s="7" t="s">
        <v>22</v>
      </c>
      <c r="G22" s="7"/>
    </row>
    <row r="23" spans="1:7" ht="15.6" x14ac:dyDescent="0.3">
      <c r="A23" s="27">
        <v>22</v>
      </c>
      <c r="B23" s="27">
        <v>170</v>
      </c>
      <c r="C23" s="27">
        <v>66</v>
      </c>
      <c r="D23" s="7"/>
      <c r="E23" s="7"/>
      <c r="F23" s="7" t="s">
        <v>23</v>
      </c>
      <c r="G23" s="7"/>
    </row>
    <row r="24" spans="1:7" ht="15.6" x14ac:dyDescent="0.3">
      <c r="A24" s="27">
        <v>23</v>
      </c>
      <c r="B24" s="27">
        <v>164</v>
      </c>
      <c r="C24" s="27">
        <v>53</v>
      </c>
      <c r="D24" s="7"/>
      <c r="E24" s="7"/>
      <c r="F24" s="7" t="s">
        <v>24</v>
      </c>
      <c r="G24" s="7"/>
    </row>
    <row r="25" spans="1:7" ht="15.6" x14ac:dyDescent="0.3">
      <c r="A25" s="27">
        <v>24</v>
      </c>
      <c r="B25" s="27">
        <v>171</v>
      </c>
      <c r="C25" s="27">
        <v>62</v>
      </c>
      <c r="D25" s="7"/>
      <c r="E25" s="7"/>
      <c r="F25" s="7" t="s">
        <v>25</v>
      </c>
      <c r="G25" s="7"/>
    </row>
    <row r="26" spans="1:7" ht="15.6" x14ac:dyDescent="0.3">
      <c r="A26" s="27">
        <v>25</v>
      </c>
      <c r="B26" s="27">
        <v>171</v>
      </c>
      <c r="C26" s="27">
        <v>67</v>
      </c>
      <c r="D26" s="7"/>
      <c r="E26" s="7"/>
      <c r="F26" s="7" t="s">
        <v>26</v>
      </c>
      <c r="G26" s="7"/>
    </row>
    <row r="27" spans="1:7" ht="15.6" x14ac:dyDescent="0.3">
      <c r="A27" s="27">
        <v>26</v>
      </c>
      <c r="B27" s="27">
        <v>163</v>
      </c>
      <c r="C27" s="27">
        <v>63</v>
      </c>
      <c r="D27" s="7"/>
      <c r="E27" s="7"/>
      <c r="F27" s="7" t="s">
        <v>27</v>
      </c>
      <c r="G27" s="7"/>
    </row>
    <row r="28" spans="1:7" ht="15.6" x14ac:dyDescent="0.3">
      <c r="A28" s="27">
        <v>27</v>
      </c>
      <c r="B28" s="27">
        <v>167</v>
      </c>
      <c r="C28" s="27">
        <v>64</v>
      </c>
      <c r="D28" s="7"/>
      <c r="E28" s="7"/>
      <c r="F28" s="7" t="s">
        <v>28</v>
      </c>
      <c r="G28" s="7"/>
    </row>
    <row r="29" spans="1:7" ht="15.6" x14ac:dyDescent="0.3">
      <c r="A29" s="27">
        <v>28</v>
      </c>
      <c r="B29" s="27">
        <v>165</v>
      </c>
      <c r="C29" s="27">
        <v>63</v>
      </c>
      <c r="D29" s="7"/>
      <c r="E29" s="7"/>
      <c r="F29" s="7" t="s">
        <v>29</v>
      </c>
      <c r="G29" s="7"/>
    </row>
    <row r="30" spans="1:7" ht="15.6" x14ac:dyDescent="0.3">
      <c r="A30" s="27">
        <v>29</v>
      </c>
      <c r="B30" s="27">
        <v>175</v>
      </c>
      <c r="C30" s="27">
        <v>66</v>
      </c>
      <c r="D30" s="7"/>
      <c r="E30" s="7"/>
      <c r="F30" s="7" t="s">
        <v>30</v>
      </c>
      <c r="G30" s="7"/>
    </row>
    <row r="31" spans="1:7" ht="15.6" x14ac:dyDescent="0.3">
      <c r="A31" s="27">
        <v>30</v>
      </c>
      <c r="B31" s="27">
        <v>171</v>
      </c>
      <c r="C31" s="27">
        <v>66</v>
      </c>
      <c r="D31" s="7"/>
      <c r="E31" s="7"/>
      <c r="F31" s="7" t="s">
        <v>32</v>
      </c>
      <c r="G31" s="7"/>
    </row>
    <row r="32" spans="1:7" ht="15.6" x14ac:dyDescent="0.3">
      <c r="A32" s="27">
        <v>31</v>
      </c>
      <c r="B32" s="27">
        <v>174</v>
      </c>
      <c r="C32" s="27">
        <v>67</v>
      </c>
      <c r="D32" s="7"/>
      <c r="E32" s="7"/>
      <c r="F32" s="7" t="s">
        <v>31</v>
      </c>
      <c r="G32" s="7"/>
    </row>
    <row r="33" spans="1:7" ht="15.6" x14ac:dyDescent="0.3">
      <c r="A33" s="27">
        <v>32</v>
      </c>
      <c r="B33" s="27">
        <v>164</v>
      </c>
      <c r="C33" s="27">
        <v>59</v>
      </c>
      <c r="D33" s="7"/>
      <c r="E33" s="7"/>
      <c r="F33" s="7" t="s">
        <v>33</v>
      </c>
      <c r="G33" s="7"/>
    </row>
    <row r="34" spans="1:7" ht="15.6" x14ac:dyDescent="0.3">
      <c r="A34" s="27">
        <v>33</v>
      </c>
      <c r="B34" s="27">
        <v>166</v>
      </c>
      <c r="C34" s="27">
        <v>78</v>
      </c>
      <c r="D34" s="7"/>
      <c r="E34" s="7"/>
      <c r="F34" s="7" t="s">
        <v>34</v>
      </c>
      <c r="G34" s="7"/>
    </row>
    <row r="35" spans="1:7" ht="15.6" x14ac:dyDescent="0.3">
      <c r="A35" s="27">
        <v>34</v>
      </c>
      <c r="B35" s="27">
        <v>161</v>
      </c>
      <c r="C35" s="27">
        <v>55</v>
      </c>
      <c r="D35" s="7"/>
      <c r="E35" s="7"/>
      <c r="F35" s="7" t="s">
        <v>35</v>
      </c>
      <c r="G35" s="7"/>
    </row>
    <row r="36" spans="1:7" ht="15.6" x14ac:dyDescent="0.3">
      <c r="A36" s="27">
        <v>35</v>
      </c>
      <c r="B36" s="27">
        <v>169</v>
      </c>
      <c r="C36" s="27">
        <v>64</v>
      </c>
      <c r="D36" s="7"/>
      <c r="E36" s="7"/>
      <c r="F36" s="7"/>
      <c r="G36" s="7"/>
    </row>
    <row r="37" spans="1:7" ht="15.6" x14ac:dyDescent="0.3">
      <c r="A37" s="27">
        <v>36</v>
      </c>
      <c r="B37" s="27">
        <v>163</v>
      </c>
      <c r="C37" s="27">
        <v>64</v>
      </c>
      <c r="D37" s="7"/>
      <c r="E37" s="7"/>
      <c r="F37" s="7"/>
      <c r="G37" s="7"/>
    </row>
    <row r="38" spans="1:7" ht="15.6" x14ac:dyDescent="0.3">
      <c r="A38" s="27">
        <v>37</v>
      </c>
      <c r="B38" s="27">
        <v>168</v>
      </c>
      <c r="C38" s="27">
        <v>58</v>
      </c>
      <c r="D38" s="7"/>
      <c r="E38" s="7"/>
      <c r="F38" s="7"/>
      <c r="G38" s="7"/>
    </row>
    <row r="39" spans="1:7" ht="15.6" x14ac:dyDescent="0.3">
      <c r="A39" s="27">
        <v>38</v>
      </c>
      <c r="B39" s="27">
        <v>166</v>
      </c>
      <c r="C39" s="27">
        <v>63</v>
      </c>
      <c r="D39" s="7"/>
      <c r="E39" s="7"/>
      <c r="F39" s="7"/>
      <c r="G39" s="7"/>
    </row>
    <row r="40" spans="1:7" ht="15.6" x14ac:dyDescent="0.3">
      <c r="A40" s="27">
        <v>39</v>
      </c>
      <c r="B40" s="27">
        <v>172</v>
      </c>
      <c r="C40" s="27">
        <v>69</v>
      </c>
      <c r="D40" s="7"/>
      <c r="E40" s="7"/>
      <c r="F40" s="7"/>
      <c r="G40" s="7"/>
    </row>
    <row r="41" spans="1:7" ht="15.6" x14ac:dyDescent="0.3">
      <c r="A41" s="27">
        <v>40</v>
      </c>
      <c r="B41" s="27">
        <v>165</v>
      </c>
      <c r="C41" s="27">
        <v>76</v>
      </c>
      <c r="D41" s="7"/>
      <c r="E41" s="7"/>
      <c r="F41" s="7"/>
      <c r="G41" s="7"/>
    </row>
    <row r="42" spans="1:7" ht="15.6" x14ac:dyDescent="0.3">
      <c r="A42" s="27">
        <v>41</v>
      </c>
      <c r="B42" s="27">
        <v>166</v>
      </c>
      <c r="C42" s="27">
        <v>71</v>
      </c>
      <c r="D42" s="7"/>
      <c r="E42" s="7"/>
      <c r="F42" s="7"/>
      <c r="G42" s="7"/>
    </row>
    <row r="43" spans="1:7" ht="15.6" x14ac:dyDescent="0.3">
      <c r="A43" s="27">
        <v>42</v>
      </c>
      <c r="B43" s="27">
        <v>171</v>
      </c>
      <c r="C43" s="27">
        <v>75</v>
      </c>
      <c r="D43" s="7"/>
      <c r="E43" s="7"/>
      <c r="F43" s="7"/>
      <c r="G43" s="7"/>
    </row>
    <row r="44" spans="1:7" ht="15.6" x14ac:dyDescent="0.3">
      <c r="A44" s="27">
        <v>43</v>
      </c>
      <c r="B44" s="27">
        <v>161</v>
      </c>
      <c r="C44" s="27">
        <v>56</v>
      </c>
      <c r="D44" s="7"/>
      <c r="E44" s="7"/>
      <c r="F44" s="7"/>
      <c r="G44" s="7"/>
    </row>
    <row r="45" spans="1:7" ht="15.6" x14ac:dyDescent="0.3">
      <c r="A45" s="27">
        <v>44</v>
      </c>
      <c r="B45" s="27">
        <v>163</v>
      </c>
      <c r="C45" s="27">
        <v>58</v>
      </c>
      <c r="D45" s="7"/>
      <c r="E45" s="7"/>
      <c r="F45" s="7"/>
      <c r="G45" s="7"/>
    </row>
    <row r="46" spans="1:7" ht="15.6" x14ac:dyDescent="0.3">
      <c r="A46" s="27">
        <v>45</v>
      </c>
      <c r="B46" s="27">
        <v>165</v>
      </c>
      <c r="C46" s="27">
        <v>72</v>
      </c>
      <c r="D46" s="7"/>
      <c r="E46" s="7"/>
      <c r="F46" s="7"/>
      <c r="G46" s="7"/>
    </row>
    <row r="47" spans="1:7" ht="15.6" x14ac:dyDescent="0.3">
      <c r="A47" s="27">
        <v>46</v>
      </c>
      <c r="B47" s="27">
        <v>172</v>
      </c>
      <c r="C47" s="27">
        <v>66</v>
      </c>
      <c r="D47" s="7"/>
      <c r="E47" s="7"/>
      <c r="F47" s="7"/>
      <c r="G47" s="7"/>
    </row>
    <row r="48" spans="1:7" ht="15.6" x14ac:dyDescent="0.3">
      <c r="A48" s="27">
        <v>47</v>
      </c>
      <c r="B48" s="27">
        <v>167</v>
      </c>
      <c r="C48" s="27">
        <v>57</v>
      </c>
      <c r="D48" s="7"/>
      <c r="E48" s="7"/>
      <c r="F48" s="7"/>
      <c r="G48" s="7"/>
    </row>
    <row r="49" spans="1:7" ht="15.6" x14ac:dyDescent="0.3">
      <c r="A49" s="27">
        <v>48</v>
      </c>
      <c r="B49" s="27">
        <v>168</v>
      </c>
      <c r="C49" s="27">
        <v>66</v>
      </c>
      <c r="D49" s="7"/>
      <c r="E49" s="7"/>
      <c r="F49" s="7"/>
      <c r="G49" s="7"/>
    </row>
    <row r="50" spans="1:7" ht="15.6" x14ac:dyDescent="0.3">
      <c r="A50" s="27">
        <v>49</v>
      </c>
      <c r="B50" s="27">
        <v>157</v>
      </c>
      <c r="C50" s="27">
        <v>60</v>
      </c>
      <c r="D50" s="7"/>
      <c r="E50" s="7"/>
      <c r="F50" s="7"/>
      <c r="G50" s="7"/>
    </row>
    <row r="51" spans="1:7" ht="15.6" x14ac:dyDescent="0.3">
      <c r="A51" s="27">
        <v>50</v>
      </c>
      <c r="B51" s="27">
        <v>169</v>
      </c>
      <c r="C51" s="27">
        <v>71</v>
      </c>
      <c r="D51" s="7"/>
      <c r="E51" s="7"/>
      <c r="F51" s="7"/>
      <c r="G51" s="7"/>
    </row>
    <row r="52" spans="1:7" ht="15.6" x14ac:dyDescent="0.3">
      <c r="A52" s="27">
        <v>51</v>
      </c>
      <c r="B52" s="27">
        <v>178</v>
      </c>
      <c r="C52" s="27">
        <v>73</v>
      </c>
      <c r="D52" s="7"/>
      <c r="E52" s="7"/>
      <c r="F52" s="7"/>
      <c r="G52" s="7"/>
    </row>
    <row r="53" spans="1:7" ht="15.6" x14ac:dyDescent="0.3">
      <c r="A53" s="27">
        <v>52</v>
      </c>
      <c r="B53" s="27">
        <v>160</v>
      </c>
      <c r="C53" s="27">
        <v>62</v>
      </c>
      <c r="D53" s="7"/>
      <c r="E53" s="7"/>
      <c r="F53" s="7"/>
      <c r="G53" s="7"/>
    </row>
    <row r="54" spans="1:7" ht="15.6" x14ac:dyDescent="0.3">
      <c r="A54" s="27">
        <v>53</v>
      </c>
      <c r="B54" s="27">
        <v>175</v>
      </c>
      <c r="C54" s="27">
        <v>64</v>
      </c>
      <c r="D54" s="7"/>
      <c r="E54" s="7"/>
      <c r="F54" s="7"/>
      <c r="G54" s="7"/>
    </row>
    <row r="55" spans="1:7" ht="15.6" x14ac:dyDescent="0.3">
      <c r="A55" s="27">
        <v>54</v>
      </c>
      <c r="B55" s="27">
        <v>160</v>
      </c>
      <c r="C55" s="27">
        <v>59</v>
      </c>
      <c r="D55" s="7"/>
      <c r="E55" s="7"/>
      <c r="F55" s="7"/>
      <c r="G55" s="7"/>
    </row>
    <row r="56" spans="1:7" ht="15.6" x14ac:dyDescent="0.3">
      <c r="A56" s="27">
        <v>55</v>
      </c>
      <c r="B56" s="27">
        <v>170</v>
      </c>
      <c r="C56" s="27">
        <v>62</v>
      </c>
      <c r="D56" s="7"/>
      <c r="E56" s="7"/>
      <c r="F56" s="7"/>
      <c r="G56" s="7"/>
    </row>
    <row r="57" spans="1:7" ht="15.6" x14ac:dyDescent="0.3">
      <c r="A57" s="27">
        <v>56</v>
      </c>
      <c r="B57" s="27">
        <v>162</v>
      </c>
      <c r="C57" s="27">
        <v>60</v>
      </c>
      <c r="D57" s="7"/>
      <c r="E57" s="7"/>
      <c r="F57" s="7"/>
      <c r="G57" s="7"/>
    </row>
    <row r="58" spans="1:7" ht="15.6" x14ac:dyDescent="0.3">
      <c r="A58" s="27">
        <v>57</v>
      </c>
      <c r="B58" s="27">
        <v>171</v>
      </c>
      <c r="C58" s="27">
        <v>70</v>
      </c>
      <c r="D58" s="7"/>
      <c r="E58" s="7"/>
      <c r="F58" s="7"/>
      <c r="G58" s="7"/>
    </row>
    <row r="59" spans="1:7" ht="15.6" x14ac:dyDescent="0.3">
      <c r="A59" s="27">
        <v>58</v>
      </c>
      <c r="B59" s="27">
        <v>178</v>
      </c>
      <c r="C59" s="27">
        <v>71</v>
      </c>
      <c r="D59" s="7"/>
      <c r="E59" s="7"/>
      <c r="F59" s="7"/>
      <c r="G59" s="7"/>
    </row>
    <row r="60" spans="1:7" ht="15.6" x14ac:dyDescent="0.3">
      <c r="A60" s="27">
        <v>59</v>
      </c>
      <c r="B60" s="27">
        <v>173</v>
      </c>
      <c r="C60" s="27">
        <v>71</v>
      </c>
      <c r="D60" s="7"/>
      <c r="E60" s="7"/>
      <c r="F60" s="7"/>
      <c r="G60" s="7"/>
    </row>
    <row r="61" spans="1:7" ht="15.6" x14ac:dyDescent="0.3">
      <c r="A61" s="27">
        <v>60</v>
      </c>
      <c r="B61" s="27">
        <v>170</v>
      </c>
      <c r="C61" s="27">
        <v>61</v>
      </c>
      <c r="D61" s="7"/>
      <c r="E61" s="7"/>
      <c r="F61" s="7"/>
      <c r="G61" s="7"/>
    </row>
    <row r="62" spans="1:7" ht="15.6" x14ac:dyDescent="0.3">
      <c r="A62" s="27">
        <v>61</v>
      </c>
      <c r="B62" s="27">
        <v>171</v>
      </c>
      <c r="C62" s="27">
        <v>76</v>
      </c>
      <c r="D62" s="7"/>
      <c r="E62" s="7"/>
      <c r="F62" s="7"/>
      <c r="G62" s="7"/>
    </row>
    <row r="63" spans="1:7" ht="15.6" x14ac:dyDescent="0.3">
      <c r="A63" s="27">
        <v>62</v>
      </c>
      <c r="B63" s="27">
        <v>176</v>
      </c>
      <c r="C63" s="27">
        <v>70</v>
      </c>
      <c r="D63" s="7"/>
      <c r="E63" s="7"/>
      <c r="F63" s="7"/>
      <c r="G63" s="7"/>
    </row>
    <row r="64" spans="1:7" ht="15.6" x14ac:dyDescent="0.3">
      <c r="A64" s="27">
        <v>63</v>
      </c>
      <c r="B64" s="27">
        <v>156</v>
      </c>
      <c r="C64" s="27">
        <v>54</v>
      </c>
      <c r="D64" s="7"/>
      <c r="E64" s="7"/>
      <c r="F64" s="7"/>
      <c r="G64" s="7"/>
    </row>
    <row r="65" spans="1:7" ht="15.6" x14ac:dyDescent="0.3">
      <c r="A65" s="27">
        <v>64</v>
      </c>
      <c r="B65" s="27">
        <v>179</v>
      </c>
      <c r="C65" s="27">
        <v>77</v>
      </c>
      <c r="D65" s="7"/>
      <c r="E65" s="7"/>
      <c r="F65" s="7"/>
      <c r="G65" s="7"/>
    </row>
    <row r="66" spans="1:7" ht="15.6" x14ac:dyDescent="0.3">
      <c r="A66" s="27">
        <v>65</v>
      </c>
      <c r="B66" s="27">
        <v>173</v>
      </c>
      <c r="C66" s="27">
        <v>71</v>
      </c>
      <c r="D66" s="7"/>
      <c r="E66" s="7"/>
      <c r="F66" s="7"/>
      <c r="G66" s="7"/>
    </row>
    <row r="67" spans="1:7" ht="15.6" x14ac:dyDescent="0.3">
      <c r="A67" s="27">
        <v>66</v>
      </c>
      <c r="B67" s="27">
        <v>162</v>
      </c>
      <c r="C67" s="27">
        <v>58</v>
      </c>
      <c r="D67" s="7"/>
      <c r="E67" s="7"/>
      <c r="F67" s="7"/>
      <c r="G67" s="7"/>
    </row>
    <row r="68" spans="1:7" ht="15.6" x14ac:dyDescent="0.3">
      <c r="A68" s="27">
        <v>67</v>
      </c>
      <c r="B68" s="27">
        <v>172</v>
      </c>
      <c r="C68" s="27">
        <v>67</v>
      </c>
      <c r="D68" s="7"/>
      <c r="E68" s="7"/>
      <c r="F68" s="7"/>
      <c r="G68" s="7"/>
    </row>
    <row r="69" spans="1:7" ht="15.6" x14ac:dyDescent="0.3">
      <c r="A69" s="27">
        <v>68</v>
      </c>
      <c r="B69" s="27">
        <v>184</v>
      </c>
      <c r="C69" s="27">
        <v>68</v>
      </c>
      <c r="D69" s="7"/>
      <c r="E69" s="7"/>
      <c r="F69" s="7"/>
      <c r="G69" s="7"/>
    </row>
    <row r="70" spans="1:7" ht="15.6" x14ac:dyDescent="0.3">
      <c r="A70" s="27">
        <v>69</v>
      </c>
      <c r="B70" s="27">
        <v>166</v>
      </c>
      <c r="C70" s="27">
        <v>51</v>
      </c>
      <c r="D70" s="7"/>
      <c r="E70" s="7"/>
      <c r="F70" s="7"/>
      <c r="G70" s="7"/>
    </row>
    <row r="71" spans="1:7" ht="15.6" x14ac:dyDescent="0.3">
      <c r="A71" s="27">
        <v>70</v>
      </c>
      <c r="B71" s="27">
        <v>171</v>
      </c>
      <c r="C71" s="27">
        <v>65</v>
      </c>
      <c r="D71" s="7"/>
      <c r="E71" s="7"/>
      <c r="F71" s="7"/>
      <c r="G71" s="7"/>
    </row>
    <row r="72" spans="1:7" ht="15.6" x14ac:dyDescent="0.3">
      <c r="A72" s="27">
        <v>71</v>
      </c>
      <c r="B72" s="27">
        <v>182</v>
      </c>
      <c r="C72" s="27">
        <v>76</v>
      </c>
      <c r="D72" s="7"/>
      <c r="E72" s="7"/>
      <c r="F72" s="7"/>
      <c r="G72" s="7"/>
    </row>
    <row r="73" spans="1:7" ht="15.6" x14ac:dyDescent="0.3">
      <c r="A73" s="27">
        <v>72</v>
      </c>
      <c r="B73" s="27">
        <v>160</v>
      </c>
      <c r="C73" s="27">
        <v>50</v>
      </c>
      <c r="D73" s="7"/>
      <c r="E73" s="7"/>
      <c r="F73" s="7"/>
      <c r="G73" s="7"/>
    </row>
    <row r="74" spans="1:7" ht="15.6" x14ac:dyDescent="0.3">
      <c r="A74" s="27">
        <v>73</v>
      </c>
      <c r="B74" s="27">
        <v>164</v>
      </c>
      <c r="C74" s="27">
        <v>61</v>
      </c>
      <c r="D74" s="7"/>
      <c r="E74" s="7"/>
      <c r="F74" s="7"/>
      <c r="G74" s="7"/>
    </row>
    <row r="75" spans="1:7" ht="15.6" x14ac:dyDescent="0.3">
      <c r="A75" s="27">
        <v>74</v>
      </c>
      <c r="B75" s="27">
        <v>170</v>
      </c>
      <c r="C75" s="27">
        <v>61</v>
      </c>
      <c r="D75" s="7"/>
      <c r="E75" s="7"/>
      <c r="F75" s="7"/>
      <c r="G75" s="7"/>
    </row>
    <row r="76" spans="1:7" ht="15.6" x14ac:dyDescent="0.3">
      <c r="A76" s="27">
        <v>75</v>
      </c>
      <c r="B76" s="27">
        <v>164</v>
      </c>
      <c r="C76" s="27">
        <v>59</v>
      </c>
      <c r="D76" s="7"/>
      <c r="E76" s="7"/>
      <c r="F76" s="7"/>
      <c r="G76" s="7"/>
    </row>
    <row r="77" spans="1:7" ht="15.6" x14ac:dyDescent="0.3">
      <c r="A77" s="27">
        <v>76</v>
      </c>
      <c r="B77" s="27">
        <v>161</v>
      </c>
      <c r="C77" s="27">
        <v>61</v>
      </c>
      <c r="D77" s="7"/>
      <c r="E77" s="7"/>
      <c r="F77" s="7"/>
      <c r="G77" s="7"/>
    </row>
    <row r="78" spans="1:7" ht="15.6" x14ac:dyDescent="0.3">
      <c r="A78" s="27">
        <v>77</v>
      </c>
      <c r="B78" s="27">
        <v>173</v>
      </c>
      <c r="C78" s="27">
        <v>77</v>
      </c>
      <c r="D78" s="7"/>
      <c r="E78" s="7"/>
      <c r="F78" s="7"/>
      <c r="G78" s="7"/>
    </row>
    <row r="79" spans="1:7" ht="15.6" x14ac:dyDescent="0.3">
      <c r="A79" s="27">
        <v>78</v>
      </c>
      <c r="B79" s="27">
        <v>171</v>
      </c>
      <c r="C79" s="27">
        <v>60</v>
      </c>
      <c r="D79" s="7"/>
      <c r="E79" s="7"/>
      <c r="F79" s="7"/>
      <c r="G79" s="7"/>
    </row>
    <row r="80" spans="1:7" ht="15.6" x14ac:dyDescent="0.3">
      <c r="A80" s="27">
        <v>79</v>
      </c>
      <c r="B80" s="27">
        <v>186</v>
      </c>
      <c r="C80" s="27">
        <v>71</v>
      </c>
      <c r="D80" s="7"/>
      <c r="E80" s="7"/>
      <c r="F80" s="7"/>
      <c r="G80" s="7"/>
    </row>
    <row r="81" spans="1:7" ht="15.6" x14ac:dyDescent="0.3">
      <c r="A81" s="27">
        <v>80</v>
      </c>
      <c r="B81" s="27">
        <v>170</v>
      </c>
      <c r="C81" s="27">
        <v>68</v>
      </c>
      <c r="D81" s="7"/>
      <c r="E81" s="7"/>
      <c r="F81" s="7"/>
      <c r="G81" s="7"/>
    </row>
    <row r="82" spans="1:7" ht="15.6" x14ac:dyDescent="0.3">
      <c r="A82" s="27">
        <v>81</v>
      </c>
      <c r="B82" s="27">
        <v>179</v>
      </c>
      <c r="C82" s="27">
        <v>69</v>
      </c>
      <c r="D82" s="7"/>
      <c r="E82" s="7"/>
      <c r="F82" s="7"/>
      <c r="G82" s="7"/>
    </row>
    <row r="83" spans="1:7" ht="15.6" x14ac:dyDescent="0.3">
      <c r="A83" s="27">
        <v>82</v>
      </c>
      <c r="B83" s="27">
        <v>171</v>
      </c>
      <c r="C83" s="27">
        <v>64</v>
      </c>
      <c r="D83" s="7"/>
      <c r="E83" s="7"/>
      <c r="F83" s="7"/>
      <c r="G83" s="7"/>
    </row>
    <row r="84" spans="1:7" ht="15.6" x14ac:dyDescent="0.3">
      <c r="A84" s="27">
        <v>83</v>
      </c>
      <c r="B84" s="27">
        <v>172</v>
      </c>
      <c r="C84" s="27">
        <v>78</v>
      </c>
      <c r="D84" s="7"/>
      <c r="E84" s="7"/>
      <c r="F84" s="7"/>
      <c r="G84" s="7"/>
    </row>
    <row r="85" spans="1:7" ht="15.6" x14ac:dyDescent="0.3">
      <c r="A85" s="27">
        <v>84</v>
      </c>
      <c r="B85" s="27">
        <v>179</v>
      </c>
      <c r="C85" s="27">
        <v>77</v>
      </c>
      <c r="D85" s="7"/>
      <c r="E85" s="7"/>
      <c r="F85" s="7"/>
      <c r="G85" s="7"/>
    </row>
    <row r="86" spans="1:7" ht="15.6" x14ac:dyDescent="0.3">
      <c r="A86" s="27">
        <v>85</v>
      </c>
      <c r="B86" s="27">
        <v>172</v>
      </c>
      <c r="C86" s="27">
        <v>67</v>
      </c>
      <c r="D86" s="7"/>
      <c r="E86" s="7"/>
      <c r="F86" s="7"/>
      <c r="G86" s="7"/>
    </row>
    <row r="87" spans="1:7" ht="15.6" x14ac:dyDescent="0.3">
      <c r="A87" s="27">
        <v>86</v>
      </c>
      <c r="B87" s="27">
        <v>196</v>
      </c>
      <c r="C87" s="27">
        <v>60</v>
      </c>
      <c r="D87" s="7"/>
      <c r="E87" s="7"/>
      <c r="F87" s="7"/>
      <c r="G87" s="7"/>
    </row>
    <row r="88" spans="1:7" ht="15.6" x14ac:dyDescent="0.3">
      <c r="A88" s="27">
        <v>87</v>
      </c>
      <c r="B88" s="27">
        <v>160</v>
      </c>
      <c r="C88" s="27">
        <v>57</v>
      </c>
      <c r="D88" s="7"/>
      <c r="E88" s="7"/>
      <c r="F88" s="7"/>
      <c r="G88" s="7"/>
    </row>
    <row r="89" spans="1:7" ht="15.6" x14ac:dyDescent="0.3">
      <c r="A89" s="27">
        <v>88</v>
      </c>
      <c r="B89" s="27">
        <v>169</v>
      </c>
      <c r="C89" s="27">
        <v>68</v>
      </c>
      <c r="D89" s="7"/>
      <c r="E89" s="7"/>
      <c r="F89" s="7"/>
      <c r="G89" s="7"/>
    </row>
    <row r="90" spans="1:7" ht="15.6" x14ac:dyDescent="0.3">
      <c r="A90" s="27">
        <v>89</v>
      </c>
      <c r="B90" s="27">
        <v>190</v>
      </c>
      <c r="C90" s="27">
        <v>80</v>
      </c>
      <c r="D90" s="7"/>
      <c r="E90" s="7"/>
      <c r="F90" s="7"/>
      <c r="G90" s="7"/>
    </row>
    <row r="91" spans="1:7" ht="15.6" x14ac:dyDescent="0.3">
      <c r="A91" s="27">
        <v>90</v>
      </c>
      <c r="B91" s="27">
        <v>169</v>
      </c>
      <c r="C91" s="27">
        <v>74</v>
      </c>
      <c r="D91" s="7"/>
      <c r="E91" s="7"/>
      <c r="F91" s="7"/>
      <c r="G91" s="7"/>
    </row>
    <row r="92" spans="1:7" ht="15.6" x14ac:dyDescent="0.3">
      <c r="A92" s="27">
        <v>91</v>
      </c>
      <c r="B92" s="27">
        <v>178</v>
      </c>
      <c r="C92" s="27">
        <v>66</v>
      </c>
      <c r="D92" s="7"/>
      <c r="E92" s="7"/>
      <c r="F92" s="7"/>
      <c r="G92" s="7"/>
    </row>
    <row r="93" spans="1:7" ht="15.6" x14ac:dyDescent="0.3">
      <c r="A93" s="27">
        <v>92</v>
      </c>
      <c r="B93" s="27">
        <v>171</v>
      </c>
      <c r="C93" s="27">
        <v>75</v>
      </c>
      <c r="D93" s="7"/>
      <c r="E93" s="7"/>
      <c r="F93" s="7"/>
      <c r="G93" s="7"/>
    </row>
    <row r="94" spans="1:7" ht="15.6" x14ac:dyDescent="0.3">
      <c r="A94" s="27">
        <v>93</v>
      </c>
      <c r="B94" s="27">
        <v>171</v>
      </c>
      <c r="C94" s="27">
        <v>66</v>
      </c>
      <c r="D94" s="7"/>
      <c r="E94" s="7"/>
      <c r="F94" s="7"/>
      <c r="G94" s="7"/>
    </row>
    <row r="95" spans="1:7" ht="15.6" x14ac:dyDescent="0.3">
      <c r="A95" s="27">
        <v>94</v>
      </c>
      <c r="B95" s="27">
        <v>177</v>
      </c>
      <c r="C95" s="27">
        <v>67</v>
      </c>
      <c r="D95" s="7"/>
      <c r="E95" s="7"/>
      <c r="F95" s="7"/>
      <c r="G95" s="7"/>
    </row>
    <row r="96" spans="1:7" ht="15.6" x14ac:dyDescent="0.3">
      <c r="A96" s="27">
        <v>95</v>
      </c>
      <c r="B96" s="27">
        <v>178</v>
      </c>
      <c r="C96" s="27">
        <v>66</v>
      </c>
      <c r="D96" s="7"/>
      <c r="E96" s="7"/>
      <c r="F96" s="7"/>
      <c r="G96" s="7"/>
    </row>
    <row r="97" spans="1:7" ht="15.6" x14ac:dyDescent="0.3">
      <c r="A97" s="27">
        <v>96</v>
      </c>
      <c r="B97" s="27">
        <v>175</v>
      </c>
      <c r="C97" s="27">
        <v>80</v>
      </c>
      <c r="D97" s="7"/>
      <c r="E97" s="7"/>
      <c r="F97" s="7"/>
      <c r="G97" s="7"/>
    </row>
    <row r="98" spans="1:7" ht="15.6" x14ac:dyDescent="0.3">
      <c r="A98" s="27">
        <v>97</v>
      </c>
      <c r="B98" s="27">
        <v>168</v>
      </c>
      <c r="C98" s="27">
        <v>62</v>
      </c>
      <c r="D98" s="7"/>
      <c r="E98" s="7"/>
      <c r="F98" s="7"/>
      <c r="G98" s="7"/>
    </row>
    <row r="99" spans="1:7" ht="15.6" x14ac:dyDescent="0.3">
      <c r="A99" s="27">
        <v>98</v>
      </c>
      <c r="B99" s="27">
        <v>167</v>
      </c>
      <c r="C99" s="27">
        <v>64</v>
      </c>
      <c r="D99" s="7"/>
      <c r="E99" s="7"/>
      <c r="F99" s="7"/>
      <c r="G99" s="7"/>
    </row>
    <row r="100" spans="1:7" ht="15.6" x14ac:dyDescent="0.3">
      <c r="A100" s="27">
        <v>99</v>
      </c>
      <c r="B100" s="27">
        <v>170</v>
      </c>
      <c r="C100" s="27">
        <v>67</v>
      </c>
      <c r="D100" s="7"/>
      <c r="E100" s="7"/>
      <c r="F100" s="7"/>
      <c r="G100" s="7"/>
    </row>
    <row r="101" spans="1:7" ht="15.6" x14ac:dyDescent="0.3">
      <c r="A101" s="27">
        <v>100</v>
      </c>
      <c r="B101" s="27">
        <v>173</v>
      </c>
      <c r="C101" s="27">
        <v>64</v>
      </c>
      <c r="D101" s="7"/>
      <c r="E101" s="7"/>
      <c r="F101" s="7"/>
      <c r="G101" s="7"/>
    </row>
    <row r="102" spans="1:7" ht="15.6" x14ac:dyDescent="0.3">
      <c r="A102" s="27">
        <v>101</v>
      </c>
      <c r="B102" s="27">
        <v>167</v>
      </c>
      <c r="C102" s="27">
        <v>61</v>
      </c>
      <c r="D102" s="7"/>
      <c r="E102" s="7"/>
      <c r="F102" s="7"/>
      <c r="G102" s="7"/>
    </row>
    <row r="103" spans="1:7" ht="15.6" x14ac:dyDescent="0.3">
      <c r="A103" s="27">
        <v>102</v>
      </c>
      <c r="B103" s="27">
        <v>174</v>
      </c>
      <c r="C103" s="27">
        <v>66</v>
      </c>
      <c r="D103" s="7"/>
      <c r="E103" s="7"/>
      <c r="F103" s="7"/>
      <c r="G103" s="7"/>
    </row>
    <row r="104" spans="1:7" ht="15.6" x14ac:dyDescent="0.3">
      <c r="A104" s="27">
        <v>103</v>
      </c>
      <c r="B104" s="27">
        <v>175</v>
      </c>
      <c r="C104" s="27">
        <v>80</v>
      </c>
      <c r="D104" s="7"/>
      <c r="E104" s="7"/>
      <c r="F104" s="7"/>
      <c r="G104" s="7"/>
    </row>
    <row r="105" spans="1:7" ht="15.6" x14ac:dyDescent="0.3">
      <c r="A105" s="27">
        <v>104</v>
      </c>
      <c r="B105" s="27">
        <v>167</v>
      </c>
      <c r="C105" s="27">
        <v>64</v>
      </c>
      <c r="D105" s="7"/>
      <c r="E105" s="7"/>
      <c r="F105" s="7"/>
      <c r="G105" s="7"/>
    </row>
    <row r="106" spans="1:7" ht="15.6" x14ac:dyDescent="0.3">
      <c r="A106" s="27">
        <v>105</v>
      </c>
      <c r="B106" s="27">
        <v>180</v>
      </c>
      <c r="C106" s="27">
        <v>75</v>
      </c>
      <c r="D106" s="7"/>
      <c r="E106" s="7"/>
      <c r="F106" s="7"/>
      <c r="G106" s="7"/>
    </row>
    <row r="107" spans="1:7" ht="15.6" x14ac:dyDescent="0.3">
      <c r="A107" s="27">
        <v>106</v>
      </c>
      <c r="B107" s="27">
        <v>166</v>
      </c>
      <c r="C107" s="27">
        <v>63</v>
      </c>
      <c r="D107" s="7"/>
      <c r="E107" s="7"/>
      <c r="F107" s="7"/>
      <c r="G107" s="7"/>
    </row>
    <row r="108" spans="1:7" ht="15.6" x14ac:dyDescent="0.3">
      <c r="A108" s="27">
        <v>107</v>
      </c>
      <c r="B108" s="27">
        <v>176</v>
      </c>
      <c r="C108" s="27">
        <v>71</v>
      </c>
      <c r="D108" s="7"/>
      <c r="E108" s="7"/>
      <c r="F108" s="7"/>
      <c r="G108" s="7"/>
    </row>
    <row r="109" spans="1:7" ht="15.6" x14ac:dyDescent="0.3">
      <c r="A109" s="27">
        <v>108</v>
      </c>
      <c r="B109" s="27">
        <v>174</v>
      </c>
      <c r="C109" s="27">
        <v>69</v>
      </c>
      <c r="D109" s="7"/>
      <c r="E109" s="7"/>
      <c r="F109" s="7"/>
      <c r="G109" s="7"/>
    </row>
    <row r="110" spans="1:7" ht="15.6" x14ac:dyDescent="0.3">
      <c r="A110" s="27">
        <v>109</v>
      </c>
      <c r="B110" s="27">
        <v>169</v>
      </c>
      <c r="C110" s="27">
        <v>71</v>
      </c>
      <c r="D110" s="7"/>
      <c r="E110" s="7"/>
      <c r="F110" s="7"/>
      <c r="G110" s="7"/>
    </row>
    <row r="111" spans="1:7" ht="15.6" x14ac:dyDescent="0.3">
      <c r="A111" s="27">
        <v>110</v>
      </c>
      <c r="B111" s="27">
        <v>177</v>
      </c>
      <c r="C111" s="27">
        <v>78</v>
      </c>
      <c r="D111" s="7"/>
      <c r="E111" s="7"/>
      <c r="F111" s="7"/>
      <c r="G111" s="7"/>
    </row>
    <row r="112" spans="1:7" ht="15.6" x14ac:dyDescent="0.3">
      <c r="A112" s="27">
        <v>111</v>
      </c>
      <c r="B112" s="27">
        <v>167</v>
      </c>
      <c r="C112" s="27">
        <v>65</v>
      </c>
      <c r="D112" s="7"/>
      <c r="E112" s="7"/>
      <c r="F112" s="7"/>
      <c r="G112" s="7"/>
    </row>
    <row r="113" spans="1:7" ht="15.6" x14ac:dyDescent="0.3">
      <c r="A113" s="27">
        <v>112</v>
      </c>
      <c r="B113" s="27">
        <v>170</v>
      </c>
      <c r="C113" s="27">
        <v>69</v>
      </c>
      <c r="D113" s="7"/>
      <c r="E113" s="7"/>
      <c r="F113" s="7"/>
      <c r="G113" s="7"/>
    </row>
    <row r="114" spans="1:7" ht="15.6" x14ac:dyDescent="0.3">
      <c r="A114" s="27">
        <v>113</v>
      </c>
      <c r="B114" s="27">
        <v>158</v>
      </c>
      <c r="C114" s="27">
        <v>61</v>
      </c>
      <c r="D114" s="7"/>
      <c r="E114" s="7"/>
      <c r="F114" s="7"/>
      <c r="G114" s="7"/>
    </row>
    <row r="115" spans="1:7" ht="15.6" x14ac:dyDescent="0.3">
      <c r="A115" s="27">
        <v>114</v>
      </c>
      <c r="B115" s="27">
        <v>171</v>
      </c>
      <c r="C115" s="27">
        <v>62</v>
      </c>
      <c r="D115" s="7"/>
      <c r="E115" s="7"/>
      <c r="F115" s="7"/>
      <c r="G115" s="7"/>
    </row>
    <row r="116" spans="1:7" ht="15.6" x14ac:dyDescent="0.3">
      <c r="A116" s="27">
        <v>115</v>
      </c>
      <c r="B116" s="27">
        <v>176</v>
      </c>
      <c r="C116" s="27">
        <v>60</v>
      </c>
      <c r="D116" s="7"/>
      <c r="E116" s="7"/>
      <c r="F116" s="7"/>
      <c r="G116" s="7"/>
    </row>
    <row r="117" spans="1:7" ht="15.6" x14ac:dyDescent="0.3">
      <c r="A117" s="27">
        <v>116</v>
      </c>
      <c r="B117" s="27">
        <v>172</v>
      </c>
      <c r="C117" s="27">
        <v>64</v>
      </c>
      <c r="D117" s="7"/>
      <c r="E117" s="7"/>
      <c r="F117" s="7"/>
      <c r="G117" s="7"/>
    </row>
    <row r="118" spans="1:7" ht="15.6" x14ac:dyDescent="0.3">
      <c r="A118" s="27">
        <v>117</v>
      </c>
      <c r="B118" s="27">
        <v>165</v>
      </c>
      <c r="C118" s="27">
        <v>60</v>
      </c>
      <c r="D118" s="7"/>
      <c r="E118" s="7"/>
      <c r="F118" s="7"/>
      <c r="G118" s="7"/>
    </row>
    <row r="119" spans="1:7" ht="15.6" x14ac:dyDescent="0.3">
      <c r="A119" s="27">
        <v>118</v>
      </c>
      <c r="B119" s="27">
        <v>178</v>
      </c>
      <c r="C119" s="27">
        <v>71</v>
      </c>
      <c r="D119" s="7"/>
      <c r="E119" s="7"/>
      <c r="F119" s="7"/>
      <c r="G119" s="7"/>
    </row>
    <row r="120" spans="1:7" ht="15.6" x14ac:dyDescent="0.3">
      <c r="A120" s="27">
        <v>119</v>
      </c>
      <c r="B120" s="27">
        <v>157</v>
      </c>
      <c r="C120" s="27">
        <v>60</v>
      </c>
      <c r="D120" s="7"/>
      <c r="E120" s="7"/>
      <c r="F120" s="7"/>
      <c r="G120" s="7"/>
    </row>
    <row r="121" spans="1:7" ht="15.6" x14ac:dyDescent="0.3">
      <c r="A121" s="27">
        <v>120</v>
      </c>
      <c r="B121" s="27">
        <v>169</v>
      </c>
      <c r="C121" s="27">
        <v>65</v>
      </c>
      <c r="D121" s="7"/>
      <c r="E121" s="7"/>
      <c r="F121" s="7"/>
      <c r="G121" s="7"/>
    </row>
    <row r="122" spans="1:7" ht="15.6" x14ac:dyDescent="0.3">
      <c r="A122" s="27">
        <v>121</v>
      </c>
      <c r="B122" s="27">
        <v>169</v>
      </c>
      <c r="C122" s="27">
        <v>62</v>
      </c>
      <c r="D122" s="7"/>
      <c r="E122" s="7"/>
      <c r="F122" s="7"/>
      <c r="G122" s="7"/>
    </row>
    <row r="123" spans="1:7" ht="15.6" x14ac:dyDescent="0.3">
      <c r="A123" s="27">
        <v>122</v>
      </c>
      <c r="B123" s="27">
        <v>167</v>
      </c>
      <c r="C123" s="27">
        <v>63</v>
      </c>
      <c r="D123" s="7"/>
      <c r="E123" s="7"/>
      <c r="F123" s="7"/>
      <c r="G123" s="7"/>
    </row>
    <row r="124" spans="1:7" ht="15.6" x14ac:dyDescent="0.3">
      <c r="A124" s="27">
        <v>123</v>
      </c>
      <c r="B124" s="27">
        <v>177</v>
      </c>
      <c r="C124" s="27">
        <v>67</v>
      </c>
      <c r="D124" s="7"/>
      <c r="E124" s="7"/>
      <c r="F124" s="7"/>
      <c r="G124" s="7"/>
    </row>
    <row r="125" spans="1:7" ht="15.6" x14ac:dyDescent="0.3">
      <c r="A125" s="27">
        <v>124</v>
      </c>
      <c r="B125" s="27">
        <v>159</v>
      </c>
      <c r="C125" s="27">
        <v>61</v>
      </c>
      <c r="D125" s="7"/>
      <c r="E125" s="7"/>
      <c r="F125" s="7"/>
      <c r="G125" s="7"/>
    </row>
    <row r="126" spans="1:7" ht="15.6" x14ac:dyDescent="0.3">
      <c r="A126" s="27">
        <v>125</v>
      </c>
      <c r="B126" s="27">
        <v>172</v>
      </c>
      <c r="C126" s="27">
        <v>69</v>
      </c>
      <c r="D126" s="7"/>
      <c r="E126" s="7"/>
      <c r="F126" s="7"/>
      <c r="G126" s="7"/>
    </row>
    <row r="127" spans="1:7" ht="15.6" x14ac:dyDescent="0.3">
      <c r="A127" s="27">
        <v>126</v>
      </c>
      <c r="B127" s="27">
        <v>167</v>
      </c>
      <c r="C127" s="27">
        <v>65</v>
      </c>
      <c r="D127" s="7"/>
      <c r="E127" s="7"/>
      <c r="F127" s="7"/>
      <c r="G127" s="7"/>
    </row>
    <row r="128" spans="1:7" ht="15.6" x14ac:dyDescent="0.3">
      <c r="A128" s="27">
        <v>127</v>
      </c>
      <c r="B128" s="27">
        <v>164</v>
      </c>
      <c r="C128" s="27">
        <v>70</v>
      </c>
      <c r="D128" s="7"/>
      <c r="E128" s="7"/>
      <c r="F128" s="7"/>
      <c r="G128" s="7"/>
    </row>
    <row r="129" spans="1:7" ht="15.6" x14ac:dyDescent="0.3">
      <c r="A129" s="27">
        <v>128</v>
      </c>
      <c r="B129" s="27">
        <v>174</v>
      </c>
      <c r="C129" s="27">
        <v>74</v>
      </c>
      <c r="D129" s="7"/>
      <c r="E129" s="7"/>
      <c r="F129" s="7"/>
      <c r="G129" s="7"/>
    </row>
    <row r="130" spans="1:7" ht="15.6" x14ac:dyDescent="0.3">
      <c r="A130" s="27">
        <v>129</v>
      </c>
      <c r="B130" s="27">
        <v>176</v>
      </c>
      <c r="C130" s="27">
        <v>75</v>
      </c>
      <c r="D130" s="7"/>
      <c r="E130" s="7"/>
      <c r="F130" s="7"/>
      <c r="G130" s="7"/>
    </row>
    <row r="131" spans="1:7" ht="15.6" x14ac:dyDescent="0.3">
      <c r="A131" s="27">
        <v>130</v>
      </c>
      <c r="B131" s="27">
        <v>159</v>
      </c>
      <c r="C131" s="27">
        <v>48</v>
      </c>
      <c r="D131" s="7"/>
      <c r="E131" s="7"/>
      <c r="F131" s="7"/>
      <c r="G131" s="7"/>
    </row>
    <row r="132" spans="1:7" ht="15.6" x14ac:dyDescent="0.3">
      <c r="A132" s="27">
        <v>131</v>
      </c>
      <c r="B132" s="27">
        <v>169</v>
      </c>
      <c r="C132" s="27">
        <v>67</v>
      </c>
      <c r="D132" s="7"/>
      <c r="E132" s="7"/>
      <c r="F132" s="7"/>
      <c r="G132" s="7"/>
    </row>
    <row r="133" spans="1:7" ht="15.6" x14ac:dyDescent="0.3">
      <c r="A133" s="27">
        <v>132</v>
      </c>
      <c r="B133" s="27">
        <v>167</v>
      </c>
      <c r="C133" s="27">
        <v>57</v>
      </c>
      <c r="D133" s="7"/>
      <c r="E133" s="7"/>
      <c r="F133" s="7"/>
      <c r="G133" s="7"/>
    </row>
    <row r="134" spans="1:7" ht="15.6" x14ac:dyDescent="0.3">
      <c r="A134" s="27">
        <v>133</v>
      </c>
      <c r="B134" s="27">
        <v>157</v>
      </c>
      <c r="C134" s="27">
        <v>53</v>
      </c>
      <c r="D134" s="7"/>
      <c r="E134" s="7"/>
      <c r="F134" s="7"/>
      <c r="G134" s="7"/>
    </row>
    <row r="135" spans="1:7" ht="15.6" x14ac:dyDescent="0.3">
      <c r="A135" s="27">
        <v>134</v>
      </c>
      <c r="B135" s="27">
        <v>175</v>
      </c>
      <c r="C135" s="27">
        <v>66</v>
      </c>
      <c r="D135" s="7"/>
      <c r="E135" s="7"/>
      <c r="F135" s="7"/>
      <c r="G135" s="7"/>
    </row>
    <row r="136" spans="1:7" ht="15.6" x14ac:dyDescent="0.3">
      <c r="A136" s="27">
        <v>135</v>
      </c>
      <c r="B136" s="27">
        <v>165</v>
      </c>
      <c r="C136" s="27">
        <v>60</v>
      </c>
      <c r="D136" s="7"/>
      <c r="E136" s="7"/>
      <c r="F136" s="7"/>
      <c r="G136" s="7"/>
    </row>
    <row r="137" spans="1:7" ht="15.6" x14ac:dyDescent="0.3">
      <c r="A137" s="27">
        <v>136</v>
      </c>
      <c r="B137" s="27">
        <v>168</v>
      </c>
      <c r="C137" s="27">
        <v>62</v>
      </c>
      <c r="D137" s="7"/>
      <c r="E137" s="7"/>
      <c r="F137" s="7"/>
      <c r="G137" s="7"/>
    </row>
    <row r="138" spans="1:7" ht="15.6" x14ac:dyDescent="0.3">
      <c r="A138" s="27">
        <v>137</v>
      </c>
      <c r="B138" s="27">
        <v>172</v>
      </c>
      <c r="C138" s="27">
        <v>67</v>
      </c>
      <c r="D138" s="7"/>
      <c r="E138" s="7"/>
      <c r="F138" s="7"/>
      <c r="G138" s="7"/>
    </row>
    <row r="139" spans="1:7" ht="15.6" x14ac:dyDescent="0.3">
      <c r="A139" s="27">
        <v>138</v>
      </c>
      <c r="B139" s="27">
        <v>173</v>
      </c>
      <c r="C139" s="27">
        <v>66</v>
      </c>
      <c r="D139" s="7"/>
      <c r="E139" s="7"/>
      <c r="F139" s="7"/>
      <c r="G139" s="7"/>
    </row>
    <row r="140" spans="1:7" ht="15.6" x14ac:dyDescent="0.3">
      <c r="A140" s="27">
        <v>139</v>
      </c>
      <c r="B140" s="27">
        <v>167</v>
      </c>
      <c r="C140" s="27">
        <v>68</v>
      </c>
      <c r="D140" s="7"/>
      <c r="E140" s="7"/>
      <c r="F140" s="7"/>
      <c r="G140" s="7"/>
    </row>
    <row r="141" spans="1:7" ht="15.6" x14ac:dyDescent="0.3">
      <c r="A141" s="27">
        <v>140</v>
      </c>
      <c r="B141" s="27">
        <v>163</v>
      </c>
      <c r="C141" s="27">
        <v>54</v>
      </c>
      <c r="D141" s="7"/>
      <c r="E141" s="7"/>
      <c r="F141" s="7"/>
      <c r="G141" s="7"/>
    </row>
    <row r="142" spans="1:7" ht="15.6" x14ac:dyDescent="0.3">
      <c r="A142" s="27">
        <v>141</v>
      </c>
      <c r="B142" s="27">
        <v>166</v>
      </c>
      <c r="C142" s="27">
        <v>63</v>
      </c>
      <c r="D142" s="7"/>
      <c r="E142" s="7"/>
      <c r="F142" s="7"/>
      <c r="G142" s="7"/>
    </row>
    <row r="143" spans="1:7" ht="15.6" x14ac:dyDescent="0.3">
      <c r="A143" s="27">
        <v>142</v>
      </c>
      <c r="B143" s="27">
        <v>168</v>
      </c>
      <c r="C143" s="27">
        <v>67</v>
      </c>
      <c r="D143" s="7"/>
      <c r="E143" s="7"/>
      <c r="F143" s="7"/>
      <c r="G143" s="7"/>
    </row>
    <row r="144" spans="1:7" ht="15.6" x14ac:dyDescent="0.3">
      <c r="A144" s="27">
        <v>143</v>
      </c>
      <c r="B144" s="27">
        <v>169</v>
      </c>
      <c r="C144" s="27">
        <v>64</v>
      </c>
      <c r="D144" s="7"/>
      <c r="E144" s="7"/>
      <c r="F144" s="7"/>
      <c r="G144" s="7"/>
    </row>
    <row r="145" spans="1:7" ht="15.6" x14ac:dyDescent="0.3">
      <c r="A145" s="27">
        <v>144</v>
      </c>
      <c r="B145" s="27">
        <v>177</v>
      </c>
      <c r="C145" s="27">
        <v>67</v>
      </c>
      <c r="D145" s="7"/>
      <c r="E145" s="7"/>
      <c r="F145" s="7"/>
      <c r="G145" s="7"/>
    </row>
    <row r="146" spans="1:7" ht="15.6" x14ac:dyDescent="0.3">
      <c r="A146" s="27">
        <v>145</v>
      </c>
      <c r="B146" s="27">
        <v>170</v>
      </c>
      <c r="C146" s="27">
        <v>61</v>
      </c>
      <c r="D146" s="7"/>
      <c r="E146" s="7"/>
      <c r="F146" s="7"/>
      <c r="G146" s="7"/>
    </row>
    <row r="147" spans="1:7" ht="15.6" x14ac:dyDescent="0.3">
      <c r="A147" s="27">
        <v>146</v>
      </c>
      <c r="B147" s="27">
        <v>170</v>
      </c>
      <c r="C147" s="27">
        <v>69</v>
      </c>
      <c r="D147" s="7"/>
      <c r="E147" s="7"/>
      <c r="F147" s="7"/>
      <c r="G147" s="7"/>
    </row>
    <row r="148" spans="1:7" ht="15.6" x14ac:dyDescent="0.3">
      <c r="A148" s="27">
        <v>147</v>
      </c>
      <c r="B148" s="27">
        <v>176</v>
      </c>
      <c r="C148" s="27">
        <v>62</v>
      </c>
      <c r="D148" s="7"/>
      <c r="E148" s="7"/>
      <c r="F148" s="7"/>
      <c r="G148" s="7"/>
    </row>
    <row r="149" spans="1:7" ht="15.6" x14ac:dyDescent="0.3">
      <c r="A149" s="27">
        <v>148</v>
      </c>
      <c r="B149" s="27">
        <v>165</v>
      </c>
      <c r="C149" s="27">
        <v>72</v>
      </c>
      <c r="D149" s="7"/>
      <c r="E149" s="7"/>
      <c r="F149" s="7"/>
      <c r="G149" s="7"/>
    </row>
    <row r="150" spans="1:7" ht="15.6" x14ac:dyDescent="0.3">
      <c r="A150" s="27">
        <v>149</v>
      </c>
      <c r="B150" s="27">
        <v>182</v>
      </c>
      <c r="C150" s="27">
        <v>66</v>
      </c>
      <c r="D150" s="7"/>
      <c r="E150" s="7"/>
      <c r="F150" s="7"/>
      <c r="G150" s="7"/>
    </row>
    <row r="151" spans="1:7" ht="15.6" x14ac:dyDescent="0.3">
      <c r="A151" s="27">
        <v>150</v>
      </c>
      <c r="B151" s="27">
        <v>173</v>
      </c>
      <c r="C151" s="27">
        <v>65</v>
      </c>
      <c r="D151" s="7"/>
      <c r="E151" s="7"/>
      <c r="F151" s="7"/>
      <c r="G151" s="7"/>
    </row>
    <row r="152" spans="1:7" ht="15.6" x14ac:dyDescent="0.3">
      <c r="A152" s="27">
        <v>151</v>
      </c>
      <c r="B152" s="27">
        <v>166</v>
      </c>
      <c r="C152" s="27">
        <v>60</v>
      </c>
      <c r="D152" s="7"/>
      <c r="E152" s="7"/>
      <c r="F152" s="7"/>
      <c r="G152" s="7"/>
    </row>
    <row r="153" spans="1:7" ht="15.6" x14ac:dyDescent="0.3">
      <c r="A153" s="27">
        <v>152</v>
      </c>
      <c r="B153" s="27">
        <v>170</v>
      </c>
      <c r="C153" s="27">
        <v>73</v>
      </c>
      <c r="D153" s="7"/>
      <c r="E153" s="7"/>
      <c r="F153" s="7"/>
      <c r="G153" s="7"/>
    </row>
    <row r="154" spans="1:7" ht="15.6" x14ac:dyDescent="0.3">
      <c r="A154" s="27">
        <v>153</v>
      </c>
      <c r="B154" s="27">
        <v>166</v>
      </c>
      <c r="C154" s="27">
        <v>57</v>
      </c>
      <c r="D154" s="7"/>
      <c r="E154" s="7"/>
      <c r="F154" s="7"/>
      <c r="G154" s="7"/>
    </row>
    <row r="155" spans="1:7" ht="15.6" x14ac:dyDescent="0.3">
      <c r="A155" s="27">
        <v>154</v>
      </c>
      <c r="B155" s="27">
        <v>177</v>
      </c>
      <c r="C155" s="27">
        <v>68</v>
      </c>
      <c r="D155" s="7"/>
      <c r="E155" s="7"/>
      <c r="F155" s="7"/>
      <c r="G155" s="7"/>
    </row>
    <row r="156" spans="1:7" ht="15.6" x14ac:dyDescent="0.3">
      <c r="A156" s="27">
        <v>155</v>
      </c>
      <c r="B156" s="27">
        <v>172</v>
      </c>
      <c r="C156" s="27">
        <v>63</v>
      </c>
      <c r="D156" s="7"/>
      <c r="E156" s="7"/>
      <c r="F156" s="7"/>
      <c r="G156" s="7"/>
    </row>
    <row r="157" spans="1:7" ht="15.6" x14ac:dyDescent="0.3">
      <c r="A157" s="27">
        <v>156</v>
      </c>
      <c r="B157" s="27">
        <v>161</v>
      </c>
      <c r="C157" s="27">
        <v>60</v>
      </c>
      <c r="D157" s="7"/>
      <c r="E157" s="7"/>
      <c r="F157" s="7"/>
      <c r="G157" s="7"/>
    </row>
    <row r="158" spans="1:7" ht="15.6" x14ac:dyDescent="0.3">
      <c r="A158" s="27">
        <v>157</v>
      </c>
      <c r="B158" s="27">
        <v>172</v>
      </c>
      <c r="C158" s="27">
        <v>67</v>
      </c>
      <c r="D158" s="7"/>
      <c r="E158" s="7"/>
      <c r="F158" s="7"/>
      <c r="G158" s="7"/>
    </row>
    <row r="159" spans="1:7" ht="15.6" x14ac:dyDescent="0.3">
      <c r="A159" s="27">
        <v>158</v>
      </c>
      <c r="B159" s="27">
        <v>163</v>
      </c>
      <c r="C159" s="27">
        <v>65</v>
      </c>
      <c r="D159" s="7"/>
      <c r="E159" s="7"/>
      <c r="F159" s="7"/>
      <c r="G159" s="7"/>
    </row>
    <row r="160" spans="1:7" ht="15.6" x14ac:dyDescent="0.3">
      <c r="A160" s="27">
        <v>159</v>
      </c>
      <c r="B160" s="27">
        <v>176</v>
      </c>
      <c r="C160" s="27">
        <v>67</v>
      </c>
      <c r="D160" s="7"/>
      <c r="E160" s="7"/>
      <c r="F160" s="7"/>
      <c r="G160" s="7"/>
    </row>
    <row r="161" spans="1:7" ht="15.6" x14ac:dyDescent="0.3">
      <c r="A161" s="27">
        <v>160</v>
      </c>
      <c r="B161" s="27">
        <v>161</v>
      </c>
      <c r="C161" s="27">
        <v>55</v>
      </c>
      <c r="D161" s="7"/>
      <c r="E161" s="7"/>
      <c r="F161" s="7"/>
      <c r="G161" s="7"/>
    </row>
    <row r="162" spans="1:7" ht="15.6" x14ac:dyDescent="0.3">
      <c r="A162" s="27">
        <v>161</v>
      </c>
      <c r="B162" s="27">
        <v>161</v>
      </c>
      <c r="C162" s="27">
        <v>60</v>
      </c>
      <c r="D162" s="7"/>
      <c r="E162" s="7"/>
      <c r="F162" s="7"/>
      <c r="G162" s="7"/>
    </row>
    <row r="163" spans="1:7" ht="15.6" x14ac:dyDescent="0.3">
      <c r="A163" s="27">
        <v>162</v>
      </c>
      <c r="B163" s="27">
        <v>172</v>
      </c>
      <c r="C163" s="27">
        <v>72</v>
      </c>
      <c r="D163" s="7"/>
      <c r="E163" s="7"/>
      <c r="F163" s="7"/>
      <c r="G163" s="7"/>
    </row>
    <row r="164" spans="1:7" ht="15.6" x14ac:dyDescent="0.3">
      <c r="A164" s="27">
        <v>163</v>
      </c>
      <c r="B164" s="27">
        <v>167</v>
      </c>
      <c r="C164" s="27">
        <v>61</v>
      </c>
      <c r="D164" s="7"/>
      <c r="E164" s="7"/>
      <c r="F164" s="7"/>
      <c r="G164" s="7"/>
    </row>
    <row r="165" spans="1:7" ht="15.6" x14ac:dyDescent="0.3">
      <c r="A165" s="27">
        <v>164</v>
      </c>
      <c r="B165" s="27">
        <v>168</v>
      </c>
      <c r="C165" s="27">
        <v>63</v>
      </c>
      <c r="D165" s="7"/>
      <c r="E165" s="7"/>
      <c r="F165" s="7"/>
      <c r="G165" s="7"/>
    </row>
    <row r="166" spans="1:7" ht="15.6" x14ac:dyDescent="0.3">
      <c r="A166" s="27">
        <v>165</v>
      </c>
      <c r="B166" s="27">
        <v>161</v>
      </c>
      <c r="C166" s="27">
        <v>61</v>
      </c>
      <c r="D166" s="7"/>
      <c r="E166" s="7"/>
      <c r="F166" s="7"/>
      <c r="G166" s="7"/>
    </row>
    <row r="167" spans="1:7" ht="15.6" x14ac:dyDescent="0.3">
      <c r="A167" s="27">
        <v>166</v>
      </c>
      <c r="B167" s="27">
        <v>169</v>
      </c>
      <c r="C167" s="27">
        <v>59</v>
      </c>
      <c r="D167" s="7"/>
      <c r="E167" s="7"/>
      <c r="F167" s="7"/>
      <c r="G167" s="7"/>
    </row>
    <row r="168" spans="1:7" ht="15.6" x14ac:dyDescent="0.3">
      <c r="A168" s="27">
        <v>167</v>
      </c>
      <c r="B168" s="27">
        <v>168</v>
      </c>
      <c r="C168" s="27">
        <v>70</v>
      </c>
      <c r="D168" s="7"/>
      <c r="E168" s="7"/>
      <c r="F168" s="7"/>
      <c r="G168" s="7"/>
    </row>
    <row r="169" spans="1:7" ht="15.6" x14ac:dyDescent="0.3">
      <c r="A169" s="27">
        <v>168</v>
      </c>
      <c r="B169" s="27">
        <v>170</v>
      </c>
      <c r="C169" s="27">
        <v>61</v>
      </c>
      <c r="D169" s="7"/>
      <c r="E169" s="7"/>
      <c r="F169" s="7"/>
      <c r="G169" s="7"/>
    </row>
    <row r="170" spans="1:7" ht="15.6" x14ac:dyDescent="0.3">
      <c r="A170" s="27">
        <v>169</v>
      </c>
      <c r="B170" s="27">
        <v>166</v>
      </c>
      <c r="C170" s="27">
        <v>55</v>
      </c>
      <c r="D170" s="7"/>
      <c r="E170" s="7"/>
      <c r="F170" s="7"/>
      <c r="G170" s="7"/>
    </row>
    <row r="171" spans="1:7" ht="15.6" x14ac:dyDescent="0.3">
      <c r="A171" s="27">
        <v>170</v>
      </c>
      <c r="B171" s="27">
        <v>175</v>
      </c>
      <c r="C171" s="27">
        <v>64</v>
      </c>
      <c r="D171" s="7"/>
      <c r="E171" s="7"/>
      <c r="F171" s="7"/>
      <c r="G171" s="7"/>
    </row>
    <row r="172" spans="1:7" ht="15.6" x14ac:dyDescent="0.3">
      <c r="A172" s="27">
        <v>171</v>
      </c>
      <c r="B172" s="27">
        <v>180</v>
      </c>
      <c r="C172" s="27">
        <v>73</v>
      </c>
      <c r="D172" s="7"/>
      <c r="E172" s="7"/>
      <c r="F172" s="7"/>
      <c r="G172" s="7"/>
    </row>
    <row r="173" spans="1:7" ht="15.6" x14ac:dyDescent="0.3">
      <c r="A173" s="27">
        <v>172</v>
      </c>
      <c r="B173" s="27">
        <v>164</v>
      </c>
      <c r="C173" s="27">
        <v>56</v>
      </c>
      <c r="D173" s="7"/>
      <c r="E173" s="7"/>
      <c r="F173" s="7"/>
      <c r="G173" s="7"/>
    </row>
    <row r="174" spans="1:7" ht="15.6" x14ac:dyDescent="0.3">
      <c r="A174" s="27">
        <v>173</v>
      </c>
      <c r="B174" s="27">
        <v>161</v>
      </c>
      <c r="C174" s="27">
        <v>51</v>
      </c>
      <c r="D174" s="7"/>
      <c r="E174" s="7"/>
      <c r="F174" s="7"/>
      <c r="G174" s="7"/>
    </row>
    <row r="175" spans="1:7" ht="15.6" x14ac:dyDescent="0.3">
      <c r="A175" s="27">
        <v>174</v>
      </c>
      <c r="B175" s="27">
        <v>162</v>
      </c>
      <c r="C175" s="27">
        <v>61</v>
      </c>
      <c r="D175" s="7"/>
      <c r="E175" s="7"/>
      <c r="F175" s="7"/>
      <c r="G175" s="7"/>
    </row>
    <row r="176" spans="1:7" ht="15.6" x14ac:dyDescent="0.3">
      <c r="A176" s="27">
        <v>175</v>
      </c>
      <c r="B176" s="27">
        <v>171</v>
      </c>
      <c r="C176" s="27">
        <v>67</v>
      </c>
      <c r="D176" s="7"/>
      <c r="E176" s="7"/>
      <c r="F176" s="7"/>
      <c r="G176" s="7"/>
    </row>
    <row r="177" spans="1:7" ht="15.6" x14ac:dyDescent="0.3">
      <c r="A177" s="27">
        <v>176</v>
      </c>
      <c r="B177" s="27">
        <v>166</v>
      </c>
      <c r="C177" s="27">
        <v>63</v>
      </c>
      <c r="D177" s="7"/>
      <c r="E177" s="7"/>
      <c r="F177" s="7"/>
      <c r="G177" s="7"/>
    </row>
    <row r="178" spans="1:7" ht="15.6" x14ac:dyDescent="0.3">
      <c r="A178" s="27">
        <v>177</v>
      </c>
      <c r="B178" s="27">
        <v>179</v>
      </c>
      <c r="C178" s="27">
        <v>71</v>
      </c>
      <c r="D178" s="7"/>
      <c r="E178" s="7"/>
      <c r="F178" s="7"/>
      <c r="G178" s="7"/>
    </row>
    <row r="179" spans="1:7" ht="15.6" x14ac:dyDescent="0.3">
      <c r="A179" s="27">
        <v>178</v>
      </c>
      <c r="B179" s="27">
        <v>162</v>
      </c>
      <c r="C179" s="27">
        <v>52</v>
      </c>
      <c r="D179" s="7"/>
      <c r="E179" s="7"/>
      <c r="F179" s="7"/>
      <c r="G179" s="7"/>
    </row>
    <row r="180" spans="1:7" ht="15.6" x14ac:dyDescent="0.3">
      <c r="A180" s="27">
        <v>179</v>
      </c>
      <c r="B180" s="27">
        <v>167</v>
      </c>
      <c r="C180" s="27">
        <v>55</v>
      </c>
      <c r="D180" s="7"/>
      <c r="E180" s="7"/>
      <c r="F180" s="7"/>
      <c r="G180" s="7"/>
    </row>
    <row r="181" spans="1:7" ht="15.6" x14ac:dyDescent="0.3">
      <c r="A181" s="27">
        <v>180</v>
      </c>
      <c r="B181" s="27">
        <v>176</v>
      </c>
      <c r="C181" s="27">
        <v>70</v>
      </c>
      <c r="D181" s="7"/>
      <c r="E181" s="7"/>
      <c r="F181" s="7"/>
      <c r="G181" s="7"/>
    </row>
    <row r="182" spans="1:7" ht="15.6" x14ac:dyDescent="0.3">
      <c r="A182" s="27">
        <v>181</v>
      </c>
      <c r="B182" s="27">
        <v>163</v>
      </c>
      <c r="C182" s="27">
        <v>63</v>
      </c>
      <c r="D182" s="7"/>
      <c r="E182" s="7"/>
      <c r="F182" s="7"/>
      <c r="G182" s="7"/>
    </row>
    <row r="183" spans="1:7" ht="15.6" x14ac:dyDescent="0.3">
      <c r="A183" s="27">
        <v>182</v>
      </c>
      <c r="B183" s="27">
        <v>169</v>
      </c>
      <c r="C183" s="27">
        <v>62</v>
      </c>
      <c r="D183" s="7"/>
      <c r="E183" s="7"/>
      <c r="F183" s="7"/>
      <c r="G183" s="7"/>
    </row>
    <row r="184" spans="1:7" ht="15.6" x14ac:dyDescent="0.3">
      <c r="A184" s="27">
        <v>183</v>
      </c>
      <c r="B184" s="27">
        <v>174</v>
      </c>
      <c r="C184" s="27">
        <v>73</v>
      </c>
      <c r="D184" s="7"/>
      <c r="E184" s="7"/>
      <c r="F184" s="7"/>
      <c r="G184" s="7"/>
    </row>
    <row r="185" spans="1:7" ht="15.6" x14ac:dyDescent="0.3">
      <c r="A185" s="27">
        <v>184</v>
      </c>
      <c r="B185" s="27">
        <v>167</v>
      </c>
      <c r="C185" s="27">
        <v>65</v>
      </c>
      <c r="D185" s="7"/>
      <c r="E185" s="7"/>
      <c r="F185" s="7"/>
      <c r="G185" s="7"/>
    </row>
    <row r="186" spans="1:7" ht="15.6" x14ac:dyDescent="0.3">
      <c r="A186" s="27">
        <v>185</v>
      </c>
      <c r="B186" s="27">
        <v>179</v>
      </c>
      <c r="C186" s="27">
        <v>63</v>
      </c>
      <c r="D186" s="7"/>
      <c r="E186" s="7"/>
      <c r="F186" s="7"/>
      <c r="G186" s="7"/>
    </row>
    <row r="187" spans="1:7" ht="15.6" x14ac:dyDescent="0.3">
      <c r="A187" s="27">
        <v>186</v>
      </c>
      <c r="B187" s="27">
        <v>173</v>
      </c>
      <c r="C187" s="27">
        <v>63</v>
      </c>
      <c r="D187" s="7"/>
      <c r="E187" s="7"/>
      <c r="F187" s="7"/>
      <c r="G187" s="7"/>
    </row>
    <row r="188" spans="1:7" ht="15.6" x14ac:dyDescent="0.3">
      <c r="A188" s="27">
        <v>187</v>
      </c>
      <c r="B188" s="27">
        <v>172</v>
      </c>
      <c r="C188" s="27">
        <v>67</v>
      </c>
      <c r="D188" s="7"/>
      <c r="E188" s="7"/>
      <c r="F188" s="7"/>
      <c r="G188" s="7"/>
    </row>
    <row r="189" spans="1:7" ht="15.6" x14ac:dyDescent="0.3">
      <c r="A189" s="27">
        <v>188</v>
      </c>
      <c r="B189" s="27">
        <v>171</v>
      </c>
      <c r="C189" s="27">
        <v>66</v>
      </c>
      <c r="D189" s="7"/>
      <c r="E189" s="7"/>
      <c r="F189" s="7"/>
      <c r="G189" s="7"/>
    </row>
    <row r="190" spans="1:7" ht="15.6" x14ac:dyDescent="0.3">
      <c r="A190" s="27">
        <v>189</v>
      </c>
      <c r="B190" s="27">
        <v>171</v>
      </c>
      <c r="C190" s="27">
        <v>64</v>
      </c>
      <c r="D190" s="7"/>
      <c r="E190" s="7"/>
      <c r="F190" s="7"/>
      <c r="G190" s="7"/>
    </row>
    <row r="191" spans="1:7" ht="15.6" x14ac:dyDescent="0.3">
      <c r="A191" s="27">
        <v>190</v>
      </c>
      <c r="B191" s="27">
        <v>171</v>
      </c>
      <c r="C191" s="27">
        <v>67</v>
      </c>
      <c r="D191" s="7"/>
      <c r="E191" s="7"/>
      <c r="F191" s="7"/>
      <c r="G191" s="7"/>
    </row>
    <row r="192" spans="1:7" ht="15.6" x14ac:dyDescent="0.3">
      <c r="A192" s="27">
        <v>191</v>
      </c>
      <c r="B192" s="27">
        <v>163</v>
      </c>
      <c r="C192" s="27">
        <v>72</v>
      </c>
      <c r="D192" s="7"/>
      <c r="E192" s="7"/>
      <c r="F192" s="7"/>
      <c r="G192" s="7"/>
    </row>
    <row r="193" spans="1:7" ht="15.6" x14ac:dyDescent="0.3">
      <c r="A193" s="27">
        <v>192</v>
      </c>
      <c r="B193" s="27">
        <v>168</v>
      </c>
      <c r="C193" s="27">
        <v>64</v>
      </c>
      <c r="D193" s="7"/>
      <c r="E193" s="7"/>
      <c r="F193" s="7"/>
      <c r="G193" s="7"/>
    </row>
    <row r="194" spans="1:7" ht="15.6" x14ac:dyDescent="0.3">
      <c r="A194" s="27">
        <v>193</v>
      </c>
      <c r="B194" s="27">
        <v>164</v>
      </c>
      <c r="C194" s="27">
        <v>70</v>
      </c>
      <c r="D194" s="7"/>
      <c r="E194" s="7"/>
      <c r="F194" s="7"/>
      <c r="G194" s="7"/>
    </row>
    <row r="195" spans="1:7" ht="15.6" x14ac:dyDescent="0.3">
      <c r="A195" s="27">
        <v>194</v>
      </c>
      <c r="B195" s="27">
        <v>167</v>
      </c>
      <c r="C195" s="27">
        <v>66</v>
      </c>
      <c r="D195" s="7"/>
      <c r="E195" s="7"/>
      <c r="F195" s="7"/>
      <c r="G195" s="7"/>
    </row>
    <row r="196" spans="1:7" ht="15.6" x14ac:dyDescent="0.3">
      <c r="A196" s="27">
        <v>195</v>
      </c>
      <c r="B196" s="27">
        <v>171</v>
      </c>
      <c r="C196" s="27">
        <v>65</v>
      </c>
      <c r="D196" s="7"/>
      <c r="E196" s="7"/>
      <c r="F196" s="7"/>
      <c r="G196" s="7"/>
    </row>
    <row r="197" spans="1:7" ht="15.6" x14ac:dyDescent="0.3">
      <c r="A197" s="27">
        <v>196</v>
      </c>
      <c r="B197" s="27">
        <v>165</v>
      </c>
      <c r="C197" s="27">
        <v>62</v>
      </c>
      <c r="D197" s="7"/>
      <c r="E197" s="7"/>
      <c r="F197" s="7"/>
      <c r="G197" s="7"/>
    </row>
    <row r="198" spans="1:7" ht="15.6" x14ac:dyDescent="0.3">
      <c r="A198" s="27">
        <v>197</v>
      </c>
      <c r="B198" s="27">
        <v>164</v>
      </c>
      <c r="C198" s="27">
        <v>61</v>
      </c>
      <c r="D198" s="7"/>
      <c r="E198" s="7"/>
      <c r="F198" s="7"/>
      <c r="G198" s="7"/>
    </row>
    <row r="199" spans="1:7" ht="15.6" x14ac:dyDescent="0.3">
      <c r="A199" s="27">
        <v>198</v>
      </c>
      <c r="B199" s="27">
        <v>180</v>
      </c>
      <c r="C199" s="27">
        <v>76</v>
      </c>
      <c r="D199" s="7"/>
      <c r="E199" s="7"/>
      <c r="F199" s="7"/>
      <c r="G199" s="7"/>
    </row>
    <row r="200" spans="1:7" ht="15.6" x14ac:dyDescent="0.3">
      <c r="A200" s="27">
        <v>199</v>
      </c>
      <c r="B200" s="27">
        <v>165</v>
      </c>
      <c r="C200" s="27">
        <v>76</v>
      </c>
      <c r="D200" s="7"/>
      <c r="E200" s="7"/>
      <c r="F200" s="7"/>
      <c r="G200" s="7"/>
    </row>
    <row r="201" spans="1:7" ht="15.6" x14ac:dyDescent="0.3">
      <c r="A201" s="27">
        <v>200</v>
      </c>
      <c r="B201" s="27">
        <v>165</v>
      </c>
      <c r="C201" s="27">
        <v>63</v>
      </c>
      <c r="D201" s="7"/>
      <c r="E201" s="7"/>
      <c r="F201" s="7"/>
      <c r="G201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280-D77F-492E-A015-CC57202FDA7B}">
  <dimension ref="A1:E201"/>
  <sheetViews>
    <sheetView workbookViewId="0">
      <selection sqref="A1:E1048576"/>
    </sheetView>
  </sheetViews>
  <sheetFormatPr defaultRowHeight="15.6" x14ac:dyDescent="0.3"/>
  <cols>
    <col min="1" max="1" width="41.109375" style="7" customWidth="1"/>
    <col min="2" max="5" width="8.88671875" style="7"/>
  </cols>
  <sheetData>
    <row r="1" spans="1:5" x14ac:dyDescent="0.3">
      <c r="A1" s="7" t="s">
        <v>36</v>
      </c>
      <c r="C1" s="26" t="s">
        <v>1</v>
      </c>
      <c r="E1" s="26" t="s">
        <v>2</v>
      </c>
    </row>
    <row r="2" spans="1:5" x14ac:dyDescent="0.3">
      <c r="C2" s="27">
        <v>156</v>
      </c>
      <c r="E2" s="27">
        <v>48</v>
      </c>
    </row>
    <row r="3" spans="1:5" x14ac:dyDescent="0.3">
      <c r="C3" s="27">
        <v>157</v>
      </c>
      <c r="E3" s="27">
        <v>50</v>
      </c>
    </row>
    <row r="4" spans="1:5" x14ac:dyDescent="0.3">
      <c r="C4" s="27">
        <v>157</v>
      </c>
      <c r="E4" s="27">
        <v>51</v>
      </c>
    </row>
    <row r="5" spans="1:5" x14ac:dyDescent="0.3">
      <c r="C5" s="27">
        <v>157</v>
      </c>
      <c r="E5" s="27">
        <v>51</v>
      </c>
    </row>
    <row r="6" spans="1:5" x14ac:dyDescent="0.3">
      <c r="C6" s="27">
        <v>158</v>
      </c>
      <c r="E6" s="27">
        <v>51</v>
      </c>
    </row>
    <row r="7" spans="1:5" x14ac:dyDescent="0.3">
      <c r="C7" s="27">
        <v>159</v>
      </c>
      <c r="E7" s="27">
        <v>52</v>
      </c>
    </row>
    <row r="8" spans="1:5" x14ac:dyDescent="0.3">
      <c r="C8" s="27">
        <v>159</v>
      </c>
      <c r="E8" s="27">
        <v>53</v>
      </c>
    </row>
    <row r="9" spans="1:5" x14ac:dyDescent="0.3">
      <c r="C9" s="27">
        <v>160</v>
      </c>
      <c r="E9" s="27">
        <v>53</v>
      </c>
    </row>
    <row r="10" spans="1:5" x14ac:dyDescent="0.3">
      <c r="C10" s="27">
        <v>160</v>
      </c>
      <c r="E10" s="27">
        <v>54</v>
      </c>
    </row>
    <row r="11" spans="1:5" x14ac:dyDescent="0.3">
      <c r="C11" s="27">
        <v>160</v>
      </c>
      <c r="E11" s="27">
        <v>54</v>
      </c>
    </row>
    <row r="12" spans="1:5" x14ac:dyDescent="0.3">
      <c r="C12" s="27">
        <v>160</v>
      </c>
      <c r="E12" s="27">
        <v>54</v>
      </c>
    </row>
    <row r="13" spans="1:5" x14ac:dyDescent="0.3">
      <c r="C13" s="27">
        <v>161</v>
      </c>
      <c r="E13" s="27">
        <v>55</v>
      </c>
    </row>
    <row r="14" spans="1:5" x14ac:dyDescent="0.3">
      <c r="C14" s="27">
        <v>161</v>
      </c>
      <c r="E14" s="27">
        <v>55</v>
      </c>
    </row>
    <row r="15" spans="1:5" x14ac:dyDescent="0.3">
      <c r="C15" s="27">
        <v>161</v>
      </c>
      <c r="E15" s="27">
        <v>55</v>
      </c>
    </row>
    <row r="16" spans="1:5" x14ac:dyDescent="0.3">
      <c r="C16" s="27">
        <v>161</v>
      </c>
      <c r="E16" s="27">
        <v>55</v>
      </c>
    </row>
    <row r="17" spans="3:5" x14ac:dyDescent="0.3">
      <c r="C17" s="27">
        <v>161</v>
      </c>
      <c r="E17" s="27">
        <v>55</v>
      </c>
    </row>
    <row r="18" spans="3:5" x14ac:dyDescent="0.3">
      <c r="C18" s="27">
        <v>161</v>
      </c>
      <c r="E18" s="27">
        <v>56</v>
      </c>
    </row>
    <row r="19" spans="3:5" x14ac:dyDescent="0.3">
      <c r="C19" s="27">
        <v>161</v>
      </c>
      <c r="E19" s="27">
        <v>56</v>
      </c>
    </row>
    <row r="20" spans="3:5" x14ac:dyDescent="0.3">
      <c r="C20" s="27">
        <v>161</v>
      </c>
      <c r="E20" s="27">
        <v>56</v>
      </c>
    </row>
    <row r="21" spans="3:5" x14ac:dyDescent="0.3">
      <c r="C21" s="27">
        <v>161</v>
      </c>
      <c r="E21" s="27">
        <v>57</v>
      </c>
    </row>
    <row r="22" spans="3:5" x14ac:dyDescent="0.3">
      <c r="C22" s="27">
        <v>162</v>
      </c>
      <c r="E22" s="27">
        <v>57</v>
      </c>
    </row>
    <row r="23" spans="3:5" x14ac:dyDescent="0.3">
      <c r="C23" s="27">
        <v>162</v>
      </c>
      <c r="E23" s="27">
        <v>57</v>
      </c>
    </row>
    <row r="24" spans="3:5" x14ac:dyDescent="0.3">
      <c r="C24" s="27">
        <v>162</v>
      </c>
      <c r="E24" s="27">
        <v>57</v>
      </c>
    </row>
    <row r="25" spans="3:5" x14ac:dyDescent="0.3">
      <c r="C25" s="27">
        <v>162</v>
      </c>
      <c r="E25" s="27">
        <v>58</v>
      </c>
    </row>
    <row r="26" spans="3:5" x14ac:dyDescent="0.3">
      <c r="C26" s="27">
        <v>162</v>
      </c>
      <c r="E26" s="27">
        <v>58</v>
      </c>
    </row>
    <row r="27" spans="3:5" x14ac:dyDescent="0.3">
      <c r="C27" s="27">
        <v>163</v>
      </c>
      <c r="E27" s="27">
        <v>58</v>
      </c>
    </row>
    <row r="28" spans="3:5" x14ac:dyDescent="0.3">
      <c r="C28" s="27">
        <v>163</v>
      </c>
      <c r="E28" s="27">
        <v>59</v>
      </c>
    </row>
    <row r="29" spans="3:5" x14ac:dyDescent="0.3">
      <c r="C29" s="27">
        <v>163</v>
      </c>
      <c r="E29" s="27">
        <v>59</v>
      </c>
    </row>
    <row r="30" spans="3:5" x14ac:dyDescent="0.3">
      <c r="C30" s="27">
        <v>163</v>
      </c>
      <c r="E30" s="27">
        <v>59</v>
      </c>
    </row>
    <row r="31" spans="3:5" x14ac:dyDescent="0.3">
      <c r="C31" s="27">
        <v>163</v>
      </c>
      <c r="E31" s="27">
        <v>59</v>
      </c>
    </row>
    <row r="32" spans="3:5" x14ac:dyDescent="0.3">
      <c r="C32" s="27">
        <v>163</v>
      </c>
      <c r="E32" s="27">
        <v>60</v>
      </c>
    </row>
    <row r="33" spans="3:5" x14ac:dyDescent="0.3">
      <c r="C33" s="27">
        <v>163</v>
      </c>
      <c r="E33" s="27">
        <v>60</v>
      </c>
    </row>
    <row r="34" spans="3:5" x14ac:dyDescent="0.3">
      <c r="C34" s="27">
        <v>163</v>
      </c>
      <c r="E34" s="27">
        <v>60</v>
      </c>
    </row>
    <row r="35" spans="3:5" x14ac:dyDescent="0.3">
      <c r="C35" s="27">
        <v>164</v>
      </c>
      <c r="E35" s="27">
        <v>60</v>
      </c>
    </row>
    <row r="36" spans="3:5" x14ac:dyDescent="0.3">
      <c r="C36" s="27">
        <v>164</v>
      </c>
      <c r="E36" s="27">
        <v>60</v>
      </c>
    </row>
    <row r="37" spans="3:5" x14ac:dyDescent="0.3">
      <c r="C37" s="27">
        <v>164</v>
      </c>
      <c r="E37" s="27">
        <v>60</v>
      </c>
    </row>
    <row r="38" spans="3:5" x14ac:dyDescent="0.3">
      <c r="C38" s="27">
        <v>164</v>
      </c>
      <c r="E38" s="27">
        <v>60</v>
      </c>
    </row>
    <row r="39" spans="3:5" x14ac:dyDescent="0.3">
      <c r="C39" s="27">
        <v>164</v>
      </c>
      <c r="E39" s="27">
        <v>60</v>
      </c>
    </row>
    <row r="40" spans="3:5" x14ac:dyDescent="0.3">
      <c r="C40" s="27">
        <v>164</v>
      </c>
      <c r="E40" s="27">
        <v>60</v>
      </c>
    </row>
    <row r="41" spans="3:5" x14ac:dyDescent="0.3">
      <c r="C41" s="27">
        <v>164</v>
      </c>
      <c r="E41" s="27">
        <v>60</v>
      </c>
    </row>
    <row r="42" spans="3:5" x14ac:dyDescent="0.3">
      <c r="C42" s="27">
        <v>164</v>
      </c>
      <c r="E42" s="27">
        <v>60</v>
      </c>
    </row>
    <row r="43" spans="3:5" x14ac:dyDescent="0.3">
      <c r="C43" s="27">
        <v>164</v>
      </c>
      <c r="E43" s="27">
        <v>60</v>
      </c>
    </row>
    <row r="44" spans="3:5" x14ac:dyDescent="0.3">
      <c r="C44" s="27">
        <v>164</v>
      </c>
      <c r="E44" s="27">
        <v>60</v>
      </c>
    </row>
    <row r="45" spans="3:5" x14ac:dyDescent="0.3">
      <c r="C45" s="27">
        <v>164</v>
      </c>
      <c r="E45" s="27">
        <v>61</v>
      </c>
    </row>
    <row r="46" spans="3:5" x14ac:dyDescent="0.3">
      <c r="C46" s="27">
        <v>165</v>
      </c>
      <c r="E46" s="27">
        <v>61</v>
      </c>
    </row>
    <row r="47" spans="3:5" x14ac:dyDescent="0.3">
      <c r="C47" s="27">
        <v>165</v>
      </c>
      <c r="E47" s="27">
        <v>61</v>
      </c>
    </row>
    <row r="48" spans="3:5" x14ac:dyDescent="0.3">
      <c r="C48" s="27">
        <v>165</v>
      </c>
      <c r="E48" s="27">
        <v>61</v>
      </c>
    </row>
    <row r="49" spans="3:5" x14ac:dyDescent="0.3">
      <c r="C49" s="27">
        <v>165</v>
      </c>
      <c r="E49" s="27">
        <v>61</v>
      </c>
    </row>
    <row r="50" spans="3:5" x14ac:dyDescent="0.3">
      <c r="C50" s="27">
        <v>165</v>
      </c>
      <c r="E50" s="27">
        <v>61</v>
      </c>
    </row>
    <row r="51" spans="3:5" x14ac:dyDescent="0.3">
      <c r="C51" s="27">
        <v>165</v>
      </c>
      <c r="E51" s="27">
        <v>61</v>
      </c>
    </row>
    <row r="52" spans="3:5" x14ac:dyDescent="0.3">
      <c r="C52" s="27">
        <v>165</v>
      </c>
      <c r="E52" s="27">
        <v>61</v>
      </c>
    </row>
    <row r="53" spans="3:5" x14ac:dyDescent="0.3">
      <c r="C53" s="27">
        <v>165</v>
      </c>
      <c r="E53" s="27">
        <v>61</v>
      </c>
    </row>
    <row r="54" spans="3:5" x14ac:dyDescent="0.3">
      <c r="C54" s="27">
        <v>165</v>
      </c>
      <c r="E54" s="27">
        <v>61</v>
      </c>
    </row>
    <row r="55" spans="3:5" x14ac:dyDescent="0.3">
      <c r="C55" s="27">
        <v>165</v>
      </c>
      <c r="E55" s="27">
        <v>61</v>
      </c>
    </row>
    <row r="56" spans="3:5" x14ac:dyDescent="0.3">
      <c r="C56" s="27">
        <v>165</v>
      </c>
      <c r="E56" s="27">
        <v>61</v>
      </c>
    </row>
    <row r="57" spans="3:5" x14ac:dyDescent="0.3">
      <c r="C57" s="27">
        <v>166</v>
      </c>
      <c r="E57" s="27">
        <v>61</v>
      </c>
    </row>
    <row r="58" spans="3:5" x14ac:dyDescent="0.3">
      <c r="C58" s="27">
        <v>166</v>
      </c>
      <c r="E58" s="27">
        <v>62</v>
      </c>
    </row>
    <row r="59" spans="3:5" x14ac:dyDescent="0.3">
      <c r="C59" s="27">
        <v>166</v>
      </c>
      <c r="E59" s="27">
        <v>62</v>
      </c>
    </row>
    <row r="60" spans="3:5" x14ac:dyDescent="0.3">
      <c r="C60" s="27">
        <v>166</v>
      </c>
      <c r="E60" s="27">
        <v>62</v>
      </c>
    </row>
    <row r="61" spans="3:5" x14ac:dyDescent="0.3">
      <c r="C61" s="27">
        <v>166</v>
      </c>
      <c r="E61" s="27">
        <v>62</v>
      </c>
    </row>
    <row r="62" spans="3:5" x14ac:dyDescent="0.3">
      <c r="C62" s="27">
        <v>166</v>
      </c>
      <c r="E62" s="27">
        <v>62</v>
      </c>
    </row>
    <row r="63" spans="3:5" x14ac:dyDescent="0.3">
      <c r="C63" s="27">
        <v>166</v>
      </c>
      <c r="E63" s="27">
        <v>62</v>
      </c>
    </row>
    <row r="64" spans="3:5" x14ac:dyDescent="0.3">
      <c r="C64" s="27">
        <v>166</v>
      </c>
      <c r="E64" s="27">
        <v>62</v>
      </c>
    </row>
    <row r="65" spans="3:5" x14ac:dyDescent="0.3">
      <c r="C65" s="27">
        <v>166</v>
      </c>
      <c r="E65" s="27">
        <v>62</v>
      </c>
    </row>
    <row r="66" spans="3:5" x14ac:dyDescent="0.3">
      <c r="C66" s="27">
        <v>166</v>
      </c>
      <c r="E66" s="27">
        <v>62</v>
      </c>
    </row>
    <row r="67" spans="3:5" x14ac:dyDescent="0.3">
      <c r="C67" s="27">
        <v>166</v>
      </c>
      <c r="E67" s="27">
        <v>62</v>
      </c>
    </row>
    <row r="68" spans="3:5" x14ac:dyDescent="0.3">
      <c r="C68" s="27">
        <v>166</v>
      </c>
      <c r="E68" s="27">
        <v>62</v>
      </c>
    </row>
    <row r="69" spans="3:5" x14ac:dyDescent="0.3">
      <c r="C69" s="27">
        <v>167</v>
      </c>
      <c r="E69" s="27">
        <v>62</v>
      </c>
    </row>
    <row r="70" spans="3:5" x14ac:dyDescent="0.3">
      <c r="C70" s="27">
        <v>167</v>
      </c>
      <c r="E70" s="27">
        <v>62</v>
      </c>
    </row>
    <row r="71" spans="3:5" x14ac:dyDescent="0.3">
      <c r="C71" s="27">
        <v>167</v>
      </c>
      <c r="E71" s="27">
        <v>63</v>
      </c>
    </row>
    <row r="72" spans="3:5" x14ac:dyDescent="0.3">
      <c r="C72" s="27">
        <v>167</v>
      </c>
      <c r="E72" s="27">
        <v>63</v>
      </c>
    </row>
    <row r="73" spans="3:5" x14ac:dyDescent="0.3">
      <c r="C73" s="27">
        <v>167</v>
      </c>
      <c r="E73" s="27">
        <v>63</v>
      </c>
    </row>
    <row r="74" spans="3:5" x14ac:dyDescent="0.3">
      <c r="C74" s="27">
        <v>167</v>
      </c>
      <c r="E74" s="27">
        <v>63</v>
      </c>
    </row>
    <row r="75" spans="3:5" x14ac:dyDescent="0.3">
      <c r="C75" s="27">
        <v>167</v>
      </c>
      <c r="E75" s="27">
        <v>63</v>
      </c>
    </row>
    <row r="76" spans="3:5" x14ac:dyDescent="0.3">
      <c r="C76" s="27">
        <v>167</v>
      </c>
      <c r="E76" s="27">
        <v>63</v>
      </c>
    </row>
    <row r="77" spans="3:5" x14ac:dyDescent="0.3">
      <c r="C77" s="27">
        <v>167</v>
      </c>
      <c r="E77" s="27">
        <v>63</v>
      </c>
    </row>
    <row r="78" spans="3:5" x14ac:dyDescent="0.3">
      <c r="C78" s="27">
        <v>167</v>
      </c>
      <c r="E78" s="27">
        <v>63</v>
      </c>
    </row>
    <row r="79" spans="3:5" x14ac:dyDescent="0.3">
      <c r="C79" s="27">
        <v>167</v>
      </c>
      <c r="E79" s="27">
        <v>63</v>
      </c>
    </row>
    <row r="80" spans="3:5" x14ac:dyDescent="0.3">
      <c r="C80" s="27">
        <v>167</v>
      </c>
      <c r="E80" s="27">
        <v>63</v>
      </c>
    </row>
    <row r="81" spans="3:5" x14ac:dyDescent="0.3">
      <c r="C81" s="27">
        <v>167</v>
      </c>
      <c r="E81" s="27">
        <v>63</v>
      </c>
    </row>
    <row r="82" spans="3:5" x14ac:dyDescent="0.3">
      <c r="C82" s="27">
        <v>167</v>
      </c>
      <c r="E82" s="27">
        <v>63</v>
      </c>
    </row>
    <row r="83" spans="3:5" x14ac:dyDescent="0.3">
      <c r="C83" s="27">
        <v>168</v>
      </c>
      <c r="E83" s="27">
        <v>63</v>
      </c>
    </row>
    <row r="84" spans="3:5" x14ac:dyDescent="0.3">
      <c r="C84" s="27">
        <v>168</v>
      </c>
      <c r="E84" s="27">
        <v>63</v>
      </c>
    </row>
    <row r="85" spans="3:5" x14ac:dyDescent="0.3">
      <c r="C85" s="27">
        <v>168</v>
      </c>
      <c r="E85" s="27">
        <v>64</v>
      </c>
    </row>
    <row r="86" spans="3:5" x14ac:dyDescent="0.3">
      <c r="C86" s="27">
        <v>168</v>
      </c>
      <c r="E86" s="27">
        <v>64</v>
      </c>
    </row>
    <row r="87" spans="3:5" x14ac:dyDescent="0.3">
      <c r="C87" s="27">
        <v>168</v>
      </c>
      <c r="E87" s="27">
        <v>64</v>
      </c>
    </row>
    <row r="88" spans="3:5" x14ac:dyDescent="0.3">
      <c r="C88" s="27">
        <v>168</v>
      </c>
      <c r="E88" s="27">
        <v>64</v>
      </c>
    </row>
    <row r="89" spans="3:5" x14ac:dyDescent="0.3">
      <c r="C89" s="27">
        <v>168</v>
      </c>
      <c r="E89" s="27">
        <v>64</v>
      </c>
    </row>
    <row r="90" spans="3:5" x14ac:dyDescent="0.3">
      <c r="C90" s="27">
        <v>168</v>
      </c>
      <c r="E90" s="27">
        <v>64</v>
      </c>
    </row>
    <row r="91" spans="3:5" x14ac:dyDescent="0.3">
      <c r="C91" s="27">
        <v>168</v>
      </c>
      <c r="E91" s="27">
        <v>64</v>
      </c>
    </row>
    <row r="92" spans="3:5" x14ac:dyDescent="0.3">
      <c r="C92" s="27">
        <v>168</v>
      </c>
      <c r="E92" s="27">
        <v>64</v>
      </c>
    </row>
    <row r="93" spans="3:5" x14ac:dyDescent="0.3">
      <c r="C93" s="27">
        <v>169</v>
      </c>
      <c r="E93" s="27">
        <v>64</v>
      </c>
    </row>
    <row r="94" spans="3:5" x14ac:dyDescent="0.3">
      <c r="C94" s="27">
        <v>169</v>
      </c>
      <c r="E94" s="27">
        <v>64</v>
      </c>
    </row>
    <row r="95" spans="3:5" x14ac:dyDescent="0.3">
      <c r="C95" s="27">
        <v>169</v>
      </c>
      <c r="E95" s="27">
        <v>64</v>
      </c>
    </row>
    <row r="96" spans="3:5" x14ac:dyDescent="0.3">
      <c r="C96" s="27">
        <v>169</v>
      </c>
      <c r="E96" s="27">
        <v>64</v>
      </c>
    </row>
    <row r="97" spans="3:5" x14ac:dyDescent="0.3">
      <c r="C97" s="27">
        <v>169</v>
      </c>
      <c r="E97" s="27">
        <v>64</v>
      </c>
    </row>
    <row r="98" spans="3:5" x14ac:dyDescent="0.3">
      <c r="C98" s="27">
        <v>169</v>
      </c>
      <c r="E98" s="27">
        <v>64</v>
      </c>
    </row>
    <row r="99" spans="3:5" x14ac:dyDescent="0.3">
      <c r="C99" s="27">
        <v>169</v>
      </c>
      <c r="E99" s="27">
        <v>65</v>
      </c>
    </row>
    <row r="100" spans="3:5" x14ac:dyDescent="0.3">
      <c r="C100" s="27">
        <v>169</v>
      </c>
      <c r="E100" s="27">
        <v>65</v>
      </c>
    </row>
    <row r="101" spans="3:5" x14ac:dyDescent="0.3">
      <c r="C101" s="27">
        <v>169</v>
      </c>
      <c r="E101" s="27">
        <v>65</v>
      </c>
    </row>
    <row r="102" spans="3:5" x14ac:dyDescent="0.3">
      <c r="C102" s="27">
        <v>169</v>
      </c>
      <c r="E102" s="27">
        <v>65</v>
      </c>
    </row>
    <row r="103" spans="3:5" x14ac:dyDescent="0.3">
      <c r="C103" s="27">
        <v>169</v>
      </c>
      <c r="E103" s="27">
        <v>65</v>
      </c>
    </row>
    <row r="104" spans="3:5" x14ac:dyDescent="0.3">
      <c r="C104" s="27">
        <v>169</v>
      </c>
      <c r="E104" s="27">
        <v>65</v>
      </c>
    </row>
    <row r="105" spans="3:5" x14ac:dyDescent="0.3">
      <c r="C105" s="27">
        <v>169</v>
      </c>
      <c r="E105" s="27">
        <v>65</v>
      </c>
    </row>
    <row r="106" spans="3:5" x14ac:dyDescent="0.3">
      <c r="C106" s="27">
        <v>169</v>
      </c>
      <c r="E106" s="27">
        <v>65</v>
      </c>
    </row>
    <row r="107" spans="3:5" x14ac:dyDescent="0.3">
      <c r="C107" s="27">
        <v>170</v>
      </c>
      <c r="E107" s="27">
        <v>65</v>
      </c>
    </row>
    <row r="108" spans="3:5" x14ac:dyDescent="0.3">
      <c r="C108" s="27">
        <v>170</v>
      </c>
      <c r="E108" s="27">
        <v>65</v>
      </c>
    </row>
    <row r="109" spans="3:5" x14ac:dyDescent="0.3">
      <c r="C109" s="27">
        <v>170</v>
      </c>
      <c r="E109" s="27">
        <v>66</v>
      </c>
    </row>
    <row r="110" spans="3:5" x14ac:dyDescent="0.3">
      <c r="C110" s="27">
        <v>170</v>
      </c>
      <c r="E110" s="27">
        <v>66</v>
      </c>
    </row>
    <row r="111" spans="3:5" x14ac:dyDescent="0.3">
      <c r="C111" s="27">
        <v>170</v>
      </c>
      <c r="E111" s="27">
        <v>66</v>
      </c>
    </row>
    <row r="112" spans="3:5" x14ac:dyDescent="0.3">
      <c r="C112" s="27">
        <v>170</v>
      </c>
      <c r="E112" s="27">
        <v>66</v>
      </c>
    </row>
    <row r="113" spans="3:5" x14ac:dyDescent="0.3">
      <c r="C113" s="27">
        <v>170</v>
      </c>
      <c r="E113" s="27">
        <v>66</v>
      </c>
    </row>
    <row r="114" spans="3:5" x14ac:dyDescent="0.3">
      <c r="C114" s="27">
        <v>170</v>
      </c>
      <c r="E114" s="27">
        <v>66</v>
      </c>
    </row>
    <row r="115" spans="3:5" x14ac:dyDescent="0.3">
      <c r="C115" s="27">
        <v>170</v>
      </c>
      <c r="E115" s="27">
        <v>66</v>
      </c>
    </row>
    <row r="116" spans="3:5" x14ac:dyDescent="0.3">
      <c r="C116" s="27">
        <v>170</v>
      </c>
      <c r="E116" s="27">
        <v>66</v>
      </c>
    </row>
    <row r="117" spans="3:5" x14ac:dyDescent="0.3">
      <c r="C117" s="27">
        <v>170</v>
      </c>
      <c r="E117" s="27">
        <v>66</v>
      </c>
    </row>
    <row r="118" spans="3:5" x14ac:dyDescent="0.3">
      <c r="C118" s="27">
        <v>171</v>
      </c>
      <c r="E118" s="27">
        <v>66</v>
      </c>
    </row>
    <row r="119" spans="3:5" x14ac:dyDescent="0.3">
      <c r="C119" s="27">
        <v>171</v>
      </c>
      <c r="E119" s="27">
        <v>66</v>
      </c>
    </row>
    <row r="120" spans="3:5" x14ac:dyDescent="0.3">
      <c r="C120" s="27">
        <v>171</v>
      </c>
      <c r="E120" s="27">
        <v>66</v>
      </c>
    </row>
    <row r="121" spans="3:5" x14ac:dyDescent="0.3">
      <c r="C121" s="27">
        <v>171</v>
      </c>
      <c r="E121" s="27">
        <v>66</v>
      </c>
    </row>
    <row r="122" spans="3:5" x14ac:dyDescent="0.3">
      <c r="C122" s="27">
        <v>171</v>
      </c>
      <c r="E122" s="27">
        <v>66</v>
      </c>
    </row>
    <row r="123" spans="3:5" x14ac:dyDescent="0.3">
      <c r="C123" s="27">
        <v>171</v>
      </c>
      <c r="E123" s="27">
        <v>66</v>
      </c>
    </row>
    <row r="124" spans="3:5" x14ac:dyDescent="0.3">
      <c r="C124" s="27">
        <v>171</v>
      </c>
      <c r="E124" s="27">
        <v>67</v>
      </c>
    </row>
    <row r="125" spans="3:5" x14ac:dyDescent="0.3">
      <c r="C125" s="27">
        <v>171</v>
      </c>
      <c r="E125" s="27">
        <v>67</v>
      </c>
    </row>
    <row r="126" spans="3:5" x14ac:dyDescent="0.3">
      <c r="C126" s="27">
        <v>171</v>
      </c>
      <c r="E126" s="27">
        <v>67</v>
      </c>
    </row>
    <row r="127" spans="3:5" x14ac:dyDescent="0.3">
      <c r="C127" s="27">
        <v>171</v>
      </c>
      <c r="E127" s="27">
        <v>67</v>
      </c>
    </row>
    <row r="128" spans="3:5" x14ac:dyDescent="0.3">
      <c r="C128" s="27">
        <v>171</v>
      </c>
      <c r="E128" s="27">
        <v>67</v>
      </c>
    </row>
    <row r="129" spans="3:5" x14ac:dyDescent="0.3">
      <c r="C129" s="27">
        <v>171</v>
      </c>
      <c r="E129" s="27">
        <v>67</v>
      </c>
    </row>
    <row r="130" spans="3:5" x14ac:dyDescent="0.3">
      <c r="C130" s="27">
        <v>171</v>
      </c>
      <c r="E130" s="27">
        <v>67</v>
      </c>
    </row>
    <row r="131" spans="3:5" x14ac:dyDescent="0.3">
      <c r="C131" s="27">
        <v>171</v>
      </c>
      <c r="E131" s="27">
        <v>67</v>
      </c>
    </row>
    <row r="132" spans="3:5" x14ac:dyDescent="0.3">
      <c r="C132" s="27">
        <v>171</v>
      </c>
      <c r="E132" s="27">
        <v>67</v>
      </c>
    </row>
    <row r="133" spans="3:5" x14ac:dyDescent="0.3">
      <c r="C133" s="27">
        <v>171</v>
      </c>
      <c r="E133" s="27">
        <v>67</v>
      </c>
    </row>
    <row r="134" spans="3:5" x14ac:dyDescent="0.3">
      <c r="C134" s="27">
        <v>171</v>
      </c>
      <c r="E134" s="27">
        <v>67</v>
      </c>
    </row>
    <row r="135" spans="3:5" x14ac:dyDescent="0.3">
      <c r="C135" s="27">
        <v>171</v>
      </c>
      <c r="E135" s="27">
        <v>67</v>
      </c>
    </row>
    <row r="136" spans="3:5" x14ac:dyDescent="0.3">
      <c r="C136" s="27">
        <v>171</v>
      </c>
      <c r="E136" s="27">
        <v>67</v>
      </c>
    </row>
    <row r="137" spans="3:5" x14ac:dyDescent="0.3">
      <c r="C137" s="27">
        <v>172</v>
      </c>
      <c r="E137" s="27">
        <v>67</v>
      </c>
    </row>
    <row r="138" spans="3:5" x14ac:dyDescent="0.3">
      <c r="C138" s="27">
        <v>172</v>
      </c>
      <c r="E138" s="27">
        <v>67</v>
      </c>
    </row>
    <row r="139" spans="3:5" x14ac:dyDescent="0.3">
      <c r="C139" s="27">
        <v>172</v>
      </c>
      <c r="E139" s="27">
        <v>67</v>
      </c>
    </row>
    <row r="140" spans="3:5" x14ac:dyDescent="0.3">
      <c r="C140" s="27">
        <v>172</v>
      </c>
      <c r="E140" s="27">
        <v>67</v>
      </c>
    </row>
    <row r="141" spans="3:5" x14ac:dyDescent="0.3">
      <c r="C141" s="27">
        <v>172</v>
      </c>
      <c r="E141" s="27">
        <v>67</v>
      </c>
    </row>
    <row r="142" spans="3:5" x14ac:dyDescent="0.3">
      <c r="C142" s="27">
        <v>172</v>
      </c>
      <c r="E142" s="27">
        <v>67</v>
      </c>
    </row>
    <row r="143" spans="3:5" x14ac:dyDescent="0.3">
      <c r="C143" s="27">
        <v>172</v>
      </c>
      <c r="E143" s="27">
        <v>68</v>
      </c>
    </row>
    <row r="144" spans="3:5" x14ac:dyDescent="0.3">
      <c r="C144" s="27">
        <v>172</v>
      </c>
      <c r="E144" s="27">
        <v>68</v>
      </c>
    </row>
    <row r="145" spans="3:5" x14ac:dyDescent="0.3">
      <c r="C145" s="27">
        <v>172</v>
      </c>
      <c r="E145" s="27">
        <v>68</v>
      </c>
    </row>
    <row r="146" spans="3:5" x14ac:dyDescent="0.3">
      <c r="C146" s="27">
        <v>172</v>
      </c>
      <c r="E146" s="27">
        <v>68</v>
      </c>
    </row>
    <row r="147" spans="3:5" x14ac:dyDescent="0.3">
      <c r="C147" s="27">
        <v>172</v>
      </c>
      <c r="E147" s="27">
        <v>68</v>
      </c>
    </row>
    <row r="148" spans="3:5" x14ac:dyDescent="0.3">
      <c r="C148" s="27">
        <v>172</v>
      </c>
      <c r="E148" s="27">
        <v>69</v>
      </c>
    </row>
    <row r="149" spans="3:5" x14ac:dyDescent="0.3">
      <c r="C149" s="27">
        <v>172</v>
      </c>
      <c r="E149" s="27">
        <v>69</v>
      </c>
    </row>
    <row r="150" spans="3:5" x14ac:dyDescent="0.3">
      <c r="C150" s="27">
        <v>173</v>
      </c>
      <c r="E150" s="27">
        <v>69</v>
      </c>
    </row>
    <row r="151" spans="3:5" x14ac:dyDescent="0.3">
      <c r="C151" s="27">
        <v>173</v>
      </c>
      <c r="E151" s="27">
        <v>69</v>
      </c>
    </row>
    <row r="152" spans="3:5" x14ac:dyDescent="0.3">
      <c r="C152" s="27">
        <v>173</v>
      </c>
      <c r="E152" s="27">
        <v>69</v>
      </c>
    </row>
    <row r="153" spans="3:5" x14ac:dyDescent="0.3">
      <c r="C153" s="27">
        <v>173</v>
      </c>
      <c r="E153" s="27">
        <v>69</v>
      </c>
    </row>
    <row r="154" spans="3:5" x14ac:dyDescent="0.3">
      <c r="C154" s="27">
        <v>173</v>
      </c>
      <c r="E154" s="27">
        <v>70</v>
      </c>
    </row>
    <row r="155" spans="3:5" x14ac:dyDescent="0.3">
      <c r="C155" s="27">
        <v>173</v>
      </c>
      <c r="E155" s="27">
        <v>70</v>
      </c>
    </row>
    <row r="156" spans="3:5" x14ac:dyDescent="0.3">
      <c r="C156" s="27">
        <v>173</v>
      </c>
      <c r="E156" s="27">
        <v>70</v>
      </c>
    </row>
    <row r="157" spans="3:5" x14ac:dyDescent="0.3">
      <c r="C157" s="27">
        <v>173</v>
      </c>
      <c r="E157" s="27">
        <v>70</v>
      </c>
    </row>
    <row r="158" spans="3:5" x14ac:dyDescent="0.3">
      <c r="C158" s="27">
        <v>174</v>
      </c>
      <c r="E158" s="27">
        <v>70</v>
      </c>
    </row>
    <row r="159" spans="3:5" x14ac:dyDescent="0.3">
      <c r="C159" s="27">
        <v>174</v>
      </c>
      <c r="E159" s="27">
        <v>70</v>
      </c>
    </row>
    <row r="160" spans="3:5" x14ac:dyDescent="0.3">
      <c r="C160" s="27">
        <v>174</v>
      </c>
      <c r="E160" s="27">
        <v>71</v>
      </c>
    </row>
    <row r="161" spans="3:5" x14ac:dyDescent="0.3">
      <c r="C161" s="27">
        <v>174</v>
      </c>
      <c r="E161" s="27">
        <v>71</v>
      </c>
    </row>
    <row r="162" spans="3:5" x14ac:dyDescent="0.3">
      <c r="C162" s="27">
        <v>174</v>
      </c>
      <c r="E162" s="27">
        <v>71</v>
      </c>
    </row>
    <row r="163" spans="3:5" x14ac:dyDescent="0.3">
      <c r="C163" s="27">
        <v>175</v>
      </c>
      <c r="E163" s="27">
        <v>71</v>
      </c>
    </row>
    <row r="164" spans="3:5" x14ac:dyDescent="0.3">
      <c r="C164" s="27">
        <v>175</v>
      </c>
      <c r="E164" s="27">
        <v>71</v>
      </c>
    </row>
    <row r="165" spans="3:5" x14ac:dyDescent="0.3">
      <c r="C165" s="27">
        <v>175</v>
      </c>
      <c r="E165" s="27">
        <v>71</v>
      </c>
    </row>
    <row r="166" spans="3:5" x14ac:dyDescent="0.3">
      <c r="C166" s="27">
        <v>175</v>
      </c>
      <c r="E166" s="27">
        <v>71</v>
      </c>
    </row>
    <row r="167" spans="3:5" x14ac:dyDescent="0.3">
      <c r="C167" s="27">
        <v>175</v>
      </c>
      <c r="E167" s="27">
        <v>71</v>
      </c>
    </row>
    <row r="168" spans="3:5" x14ac:dyDescent="0.3">
      <c r="C168" s="27">
        <v>175</v>
      </c>
      <c r="E168" s="27">
        <v>71</v>
      </c>
    </row>
    <row r="169" spans="3:5" x14ac:dyDescent="0.3">
      <c r="C169" s="27">
        <v>176</v>
      </c>
      <c r="E169" s="27">
        <v>71</v>
      </c>
    </row>
    <row r="170" spans="3:5" x14ac:dyDescent="0.3">
      <c r="C170" s="27">
        <v>176</v>
      </c>
      <c r="E170" s="27">
        <v>72</v>
      </c>
    </row>
    <row r="171" spans="3:5" x14ac:dyDescent="0.3">
      <c r="C171" s="27">
        <v>176</v>
      </c>
      <c r="E171" s="27">
        <v>72</v>
      </c>
    </row>
    <row r="172" spans="3:5" x14ac:dyDescent="0.3">
      <c r="C172" s="27">
        <v>176</v>
      </c>
      <c r="E172" s="27">
        <v>72</v>
      </c>
    </row>
    <row r="173" spans="3:5" x14ac:dyDescent="0.3">
      <c r="C173" s="27">
        <v>176</v>
      </c>
      <c r="E173" s="27">
        <v>72</v>
      </c>
    </row>
    <row r="174" spans="3:5" x14ac:dyDescent="0.3">
      <c r="C174" s="27">
        <v>176</v>
      </c>
      <c r="E174" s="27">
        <v>72</v>
      </c>
    </row>
    <row r="175" spans="3:5" x14ac:dyDescent="0.3">
      <c r="C175" s="27">
        <v>176</v>
      </c>
      <c r="E175" s="27">
        <v>73</v>
      </c>
    </row>
    <row r="176" spans="3:5" x14ac:dyDescent="0.3">
      <c r="C176" s="27">
        <v>176</v>
      </c>
      <c r="E176" s="27">
        <v>73</v>
      </c>
    </row>
    <row r="177" spans="3:5" x14ac:dyDescent="0.3">
      <c r="C177" s="27">
        <v>177</v>
      </c>
      <c r="E177" s="27">
        <v>73</v>
      </c>
    </row>
    <row r="178" spans="3:5" x14ac:dyDescent="0.3">
      <c r="C178" s="27">
        <v>177</v>
      </c>
      <c r="E178" s="27">
        <v>73</v>
      </c>
    </row>
    <row r="179" spans="3:5" x14ac:dyDescent="0.3">
      <c r="C179" s="27">
        <v>177</v>
      </c>
      <c r="E179" s="27">
        <v>74</v>
      </c>
    </row>
    <row r="180" spans="3:5" x14ac:dyDescent="0.3">
      <c r="C180" s="27">
        <v>177</v>
      </c>
      <c r="E180" s="27">
        <v>74</v>
      </c>
    </row>
    <row r="181" spans="3:5" x14ac:dyDescent="0.3">
      <c r="C181" s="27">
        <v>177</v>
      </c>
      <c r="E181" s="27">
        <v>75</v>
      </c>
    </row>
    <row r="182" spans="3:5" x14ac:dyDescent="0.3">
      <c r="C182" s="27">
        <v>178</v>
      </c>
      <c r="E182" s="27">
        <v>75</v>
      </c>
    </row>
    <row r="183" spans="3:5" x14ac:dyDescent="0.3">
      <c r="C183" s="27">
        <v>178</v>
      </c>
      <c r="E183" s="27">
        <v>75</v>
      </c>
    </row>
    <row r="184" spans="3:5" x14ac:dyDescent="0.3">
      <c r="C184" s="27">
        <v>178</v>
      </c>
      <c r="E184" s="27">
        <v>75</v>
      </c>
    </row>
    <row r="185" spans="3:5" x14ac:dyDescent="0.3">
      <c r="C185" s="27">
        <v>178</v>
      </c>
      <c r="E185" s="27">
        <v>75</v>
      </c>
    </row>
    <row r="186" spans="3:5" x14ac:dyDescent="0.3">
      <c r="C186" s="27">
        <v>178</v>
      </c>
      <c r="E186" s="27">
        <v>75</v>
      </c>
    </row>
    <row r="187" spans="3:5" x14ac:dyDescent="0.3">
      <c r="C187" s="27">
        <v>178</v>
      </c>
      <c r="E187" s="27">
        <v>76</v>
      </c>
    </row>
    <row r="188" spans="3:5" x14ac:dyDescent="0.3">
      <c r="C188" s="27">
        <v>179</v>
      </c>
      <c r="E188" s="27">
        <v>76</v>
      </c>
    </row>
    <row r="189" spans="3:5" x14ac:dyDescent="0.3">
      <c r="C189" s="27">
        <v>179</v>
      </c>
      <c r="E189" s="27">
        <v>76</v>
      </c>
    </row>
    <row r="190" spans="3:5" x14ac:dyDescent="0.3">
      <c r="C190" s="27">
        <v>179</v>
      </c>
      <c r="E190" s="27">
        <v>76</v>
      </c>
    </row>
    <row r="191" spans="3:5" x14ac:dyDescent="0.3">
      <c r="C191" s="27">
        <v>179</v>
      </c>
      <c r="E191" s="27">
        <v>76</v>
      </c>
    </row>
    <row r="192" spans="3:5" x14ac:dyDescent="0.3">
      <c r="C192" s="27">
        <v>179</v>
      </c>
      <c r="E192" s="27">
        <v>77</v>
      </c>
    </row>
    <row r="193" spans="3:5" x14ac:dyDescent="0.3">
      <c r="C193" s="27">
        <v>180</v>
      </c>
      <c r="E193" s="27">
        <v>77</v>
      </c>
    </row>
    <row r="194" spans="3:5" x14ac:dyDescent="0.3">
      <c r="C194" s="27">
        <v>180</v>
      </c>
      <c r="E194" s="27">
        <v>77</v>
      </c>
    </row>
    <row r="195" spans="3:5" x14ac:dyDescent="0.3">
      <c r="C195" s="27">
        <v>180</v>
      </c>
      <c r="E195" s="27">
        <v>78</v>
      </c>
    </row>
    <row r="196" spans="3:5" x14ac:dyDescent="0.3">
      <c r="C196" s="27">
        <v>182</v>
      </c>
      <c r="E196" s="27">
        <v>78</v>
      </c>
    </row>
    <row r="197" spans="3:5" x14ac:dyDescent="0.3">
      <c r="C197" s="27">
        <v>182</v>
      </c>
      <c r="E197" s="27">
        <v>78</v>
      </c>
    </row>
    <row r="198" spans="3:5" x14ac:dyDescent="0.3">
      <c r="C198" s="27">
        <v>184</v>
      </c>
      <c r="E198" s="27">
        <v>80</v>
      </c>
    </row>
    <row r="199" spans="3:5" x14ac:dyDescent="0.3">
      <c r="C199" s="27">
        <v>186</v>
      </c>
      <c r="E199" s="27">
        <v>80</v>
      </c>
    </row>
    <row r="200" spans="3:5" x14ac:dyDescent="0.3">
      <c r="C200" s="27">
        <v>190</v>
      </c>
      <c r="E200" s="27">
        <v>80</v>
      </c>
    </row>
    <row r="201" spans="3:5" x14ac:dyDescent="0.3">
      <c r="C201" s="27">
        <v>196</v>
      </c>
      <c r="E201" s="27">
        <v>80</v>
      </c>
    </row>
  </sheetData>
  <sortState xmlns:xlrd2="http://schemas.microsoft.com/office/spreadsheetml/2017/richdata2" ref="E2:E201">
    <sortCondition ref="E2:E2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050D-DA99-4328-8362-6BACB691C4FE}">
  <dimension ref="A1:N201"/>
  <sheetViews>
    <sheetView zoomScale="87" workbookViewId="0">
      <selection activeCell="A6" sqref="A6"/>
    </sheetView>
  </sheetViews>
  <sheetFormatPr defaultRowHeight="15.6" x14ac:dyDescent="0.3"/>
  <cols>
    <col min="1" max="1" width="44.88671875" style="7" customWidth="1"/>
    <col min="2" max="14" width="8.88671875" style="7"/>
  </cols>
  <sheetData>
    <row r="1" spans="1:14" x14ac:dyDescent="0.3">
      <c r="C1" s="26" t="s">
        <v>1</v>
      </c>
      <c r="F1" s="23" t="s">
        <v>40</v>
      </c>
      <c r="G1" s="23"/>
      <c r="J1" s="26" t="s">
        <v>2</v>
      </c>
      <c r="M1" s="23" t="s">
        <v>40</v>
      </c>
      <c r="N1" s="23"/>
    </row>
    <row r="2" spans="1:14" x14ac:dyDescent="0.3">
      <c r="A2" s="7" t="s">
        <v>37</v>
      </c>
      <c r="C2" s="27">
        <v>156</v>
      </c>
      <c r="D2" s="9"/>
      <c r="E2" s="9" t="s">
        <v>39</v>
      </c>
      <c r="F2" s="7" t="s">
        <v>41</v>
      </c>
      <c r="G2" s="7" t="s">
        <v>42</v>
      </c>
      <c r="J2" s="27">
        <v>48</v>
      </c>
      <c r="L2" s="9" t="s">
        <v>39</v>
      </c>
      <c r="M2" s="7" t="s">
        <v>41</v>
      </c>
      <c r="N2" s="7" t="s">
        <v>42</v>
      </c>
    </row>
    <row r="3" spans="1:14" x14ac:dyDescent="0.3">
      <c r="A3" s="7" t="s">
        <v>38</v>
      </c>
      <c r="C3" s="27">
        <v>157</v>
      </c>
      <c r="D3" s="9"/>
      <c r="E3" s="9">
        <v>1</v>
      </c>
      <c r="F3" s="7">
        <f>C2</f>
        <v>156</v>
      </c>
      <c r="G3" s="7">
        <f>F3+$G$19</f>
        <v>160</v>
      </c>
      <c r="J3" s="27">
        <v>50</v>
      </c>
      <c r="L3" s="9">
        <v>1</v>
      </c>
      <c r="M3" s="7">
        <f>J2</f>
        <v>48</v>
      </c>
      <c r="N3" s="7">
        <f>M3+$N$19</f>
        <v>51.2</v>
      </c>
    </row>
    <row r="4" spans="1:14" x14ac:dyDescent="0.3">
      <c r="C4" s="27">
        <v>157</v>
      </c>
      <c r="D4" s="9"/>
      <c r="E4" s="9">
        <v>2</v>
      </c>
      <c r="F4" s="7">
        <f>G3</f>
        <v>160</v>
      </c>
      <c r="G4" s="7">
        <f t="shared" ref="G4:G12" si="0">F4+$G$19</f>
        <v>164</v>
      </c>
      <c r="J4" s="27">
        <v>51</v>
      </c>
      <c r="L4" s="9">
        <v>2</v>
      </c>
      <c r="M4" s="7">
        <f>N3</f>
        <v>51.2</v>
      </c>
      <c r="N4" s="7">
        <f t="shared" ref="N4:N12" si="1">M4+$N$19</f>
        <v>54.400000000000006</v>
      </c>
    </row>
    <row r="5" spans="1:14" x14ac:dyDescent="0.3">
      <c r="C5" s="27">
        <v>157</v>
      </c>
      <c r="D5" s="9"/>
      <c r="E5" s="9">
        <v>3</v>
      </c>
      <c r="F5" s="7">
        <f t="shared" ref="F5:F12" si="2">G4</f>
        <v>164</v>
      </c>
      <c r="G5" s="7">
        <f t="shared" si="0"/>
        <v>168</v>
      </c>
      <c r="J5" s="27">
        <v>51</v>
      </c>
      <c r="L5" s="9">
        <v>3</v>
      </c>
      <c r="M5" s="7">
        <f t="shared" ref="M5:M12" si="3">N4</f>
        <v>54.400000000000006</v>
      </c>
      <c r="N5" s="7">
        <f t="shared" si="1"/>
        <v>57.600000000000009</v>
      </c>
    </row>
    <row r="6" spans="1:14" x14ac:dyDescent="0.3">
      <c r="C6" s="27">
        <v>158</v>
      </c>
      <c r="D6" s="9"/>
      <c r="E6" s="9">
        <v>4</v>
      </c>
      <c r="F6" s="7">
        <f t="shared" si="2"/>
        <v>168</v>
      </c>
      <c r="G6" s="7">
        <f t="shared" si="0"/>
        <v>172</v>
      </c>
      <c r="J6" s="27">
        <v>51</v>
      </c>
      <c r="L6" s="9">
        <v>4</v>
      </c>
      <c r="M6" s="7">
        <f t="shared" si="3"/>
        <v>57.600000000000009</v>
      </c>
      <c r="N6" s="7">
        <f t="shared" si="1"/>
        <v>60.800000000000011</v>
      </c>
    </row>
    <row r="7" spans="1:14" x14ac:dyDescent="0.3">
      <c r="C7" s="27">
        <v>159</v>
      </c>
      <c r="D7" s="9"/>
      <c r="E7" s="9">
        <v>5</v>
      </c>
      <c r="F7" s="7">
        <f t="shared" si="2"/>
        <v>172</v>
      </c>
      <c r="G7" s="7">
        <f t="shared" si="0"/>
        <v>176</v>
      </c>
      <c r="J7" s="27">
        <v>52</v>
      </c>
      <c r="L7" s="9">
        <v>5</v>
      </c>
      <c r="M7" s="7">
        <f t="shared" si="3"/>
        <v>60.800000000000011</v>
      </c>
      <c r="N7" s="7">
        <f t="shared" si="1"/>
        <v>64.000000000000014</v>
      </c>
    </row>
    <row r="8" spans="1:14" x14ac:dyDescent="0.3">
      <c r="C8" s="27">
        <v>159</v>
      </c>
      <c r="D8" s="9"/>
      <c r="E8" s="9">
        <v>6</v>
      </c>
      <c r="F8" s="7">
        <f t="shared" si="2"/>
        <v>176</v>
      </c>
      <c r="G8" s="7">
        <f t="shared" si="0"/>
        <v>180</v>
      </c>
      <c r="J8" s="27">
        <v>53</v>
      </c>
      <c r="L8" s="9">
        <v>6</v>
      </c>
      <c r="M8" s="7">
        <f t="shared" si="3"/>
        <v>64.000000000000014</v>
      </c>
      <c r="N8" s="7">
        <f t="shared" si="1"/>
        <v>67.200000000000017</v>
      </c>
    </row>
    <row r="9" spans="1:14" x14ac:dyDescent="0.3">
      <c r="C9" s="27">
        <v>160</v>
      </c>
      <c r="D9" s="9"/>
      <c r="E9" s="9">
        <v>7</v>
      </c>
      <c r="F9" s="7">
        <f t="shared" si="2"/>
        <v>180</v>
      </c>
      <c r="G9" s="7">
        <f t="shared" si="0"/>
        <v>184</v>
      </c>
      <c r="J9" s="27">
        <v>53</v>
      </c>
      <c r="L9" s="9">
        <v>7</v>
      </c>
      <c r="M9" s="7">
        <f t="shared" si="3"/>
        <v>67.200000000000017</v>
      </c>
      <c r="N9" s="7">
        <f t="shared" si="1"/>
        <v>70.40000000000002</v>
      </c>
    </row>
    <row r="10" spans="1:14" x14ac:dyDescent="0.3">
      <c r="C10" s="27">
        <v>160</v>
      </c>
      <c r="D10" s="9"/>
      <c r="E10" s="9">
        <v>8</v>
      </c>
      <c r="F10" s="7">
        <f t="shared" si="2"/>
        <v>184</v>
      </c>
      <c r="G10" s="7">
        <f t="shared" si="0"/>
        <v>188</v>
      </c>
      <c r="J10" s="27">
        <v>54</v>
      </c>
      <c r="L10" s="9">
        <v>8</v>
      </c>
      <c r="M10" s="7">
        <f t="shared" si="3"/>
        <v>70.40000000000002</v>
      </c>
      <c r="N10" s="7">
        <f t="shared" si="1"/>
        <v>73.600000000000023</v>
      </c>
    </row>
    <row r="11" spans="1:14" x14ac:dyDescent="0.3">
      <c r="C11" s="27">
        <v>160</v>
      </c>
      <c r="D11" s="9"/>
      <c r="E11" s="9">
        <v>9</v>
      </c>
      <c r="F11" s="7">
        <f t="shared" si="2"/>
        <v>188</v>
      </c>
      <c r="G11" s="7">
        <f t="shared" si="0"/>
        <v>192</v>
      </c>
      <c r="J11" s="27">
        <v>54</v>
      </c>
      <c r="L11" s="9">
        <v>9</v>
      </c>
      <c r="M11" s="7">
        <f t="shared" si="3"/>
        <v>73.600000000000023</v>
      </c>
      <c r="N11" s="7">
        <f t="shared" si="1"/>
        <v>76.800000000000026</v>
      </c>
    </row>
    <row r="12" spans="1:14" x14ac:dyDescent="0.3">
      <c r="C12" s="27">
        <v>160</v>
      </c>
      <c r="D12" s="9"/>
      <c r="E12" s="9">
        <v>10</v>
      </c>
      <c r="F12" s="7">
        <f t="shared" si="2"/>
        <v>192</v>
      </c>
      <c r="G12" s="7">
        <f t="shared" si="0"/>
        <v>196</v>
      </c>
      <c r="J12" s="27">
        <v>54</v>
      </c>
      <c r="L12" s="9">
        <v>10</v>
      </c>
      <c r="M12" s="7">
        <f t="shared" si="3"/>
        <v>76.800000000000026</v>
      </c>
      <c r="N12" s="7">
        <f t="shared" si="1"/>
        <v>80.000000000000028</v>
      </c>
    </row>
    <row r="13" spans="1:14" x14ac:dyDescent="0.3">
      <c r="C13" s="27">
        <v>161</v>
      </c>
      <c r="E13" s="9"/>
      <c r="J13" s="27">
        <v>55</v>
      </c>
    </row>
    <row r="14" spans="1:14" x14ac:dyDescent="0.3">
      <c r="C14" s="27">
        <v>161</v>
      </c>
      <c r="J14" s="27">
        <v>55</v>
      </c>
    </row>
    <row r="15" spans="1:14" x14ac:dyDescent="0.3">
      <c r="C15" s="27">
        <v>161</v>
      </c>
      <c r="F15" s="7" t="s">
        <v>44</v>
      </c>
      <c r="G15" s="7" t="s">
        <v>45</v>
      </c>
      <c r="J15" s="27">
        <v>55</v>
      </c>
      <c r="M15" s="7" t="s">
        <v>44</v>
      </c>
      <c r="N15" s="7" t="s">
        <v>45</v>
      </c>
    </row>
    <row r="16" spans="1:14" x14ac:dyDescent="0.3">
      <c r="C16" s="27">
        <v>161</v>
      </c>
      <c r="F16" s="7">
        <f>MAX(C2:C201)</f>
        <v>196</v>
      </c>
      <c r="G16" s="7">
        <f>MIN(C2:C201)</f>
        <v>156</v>
      </c>
      <c r="J16" s="27">
        <v>55</v>
      </c>
      <c r="M16" s="7">
        <f>MAX(J:J)</f>
        <v>80</v>
      </c>
      <c r="N16" s="7">
        <f>MIN(J:J)</f>
        <v>48</v>
      </c>
    </row>
    <row r="17" spans="3:14" x14ac:dyDescent="0.3">
      <c r="C17" s="27">
        <v>161</v>
      </c>
      <c r="E17" s="7" t="s">
        <v>43</v>
      </c>
      <c r="G17" s="7">
        <f>F16-G16</f>
        <v>40</v>
      </c>
      <c r="J17" s="27">
        <v>55</v>
      </c>
      <c r="L17" s="7" t="s">
        <v>43</v>
      </c>
      <c r="N17" s="7">
        <f>M16-N16</f>
        <v>32</v>
      </c>
    </row>
    <row r="18" spans="3:14" x14ac:dyDescent="0.3">
      <c r="C18" s="27">
        <v>161</v>
      </c>
      <c r="E18" s="7" t="s">
        <v>46</v>
      </c>
      <c r="G18" s="7">
        <v>10</v>
      </c>
      <c r="J18" s="27">
        <v>56</v>
      </c>
      <c r="L18" s="7" t="s">
        <v>49</v>
      </c>
      <c r="N18" s="7">
        <v>10</v>
      </c>
    </row>
    <row r="19" spans="3:14" x14ac:dyDescent="0.3">
      <c r="C19" s="27">
        <v>161</v>
      </c>
      <c r="E19" s="9" t="s">
        <v>47</v>
      </c>
      <c r="F19" s="9" t="s">
        <v>48</v>
      </c>
      <c r="G19" s="7">
        <f>G17/G18</f>
        <v>4</v>
      </c>
      <c r="J19" s="27">
        <v>56</v>
      </c>
      <c r="L19" s="7" t="s">
        <v>47</v>
      </c>
      <c r="M19" s="7" t="s">
        <v>48</v>
      </c>
      <c r="N19" s="7">
        <f>N17/N18</f>
        <v>3.2</v>
      </c>
    </row>
    <row r="20" spans="3:14" x14ac:dyDescent="0.3">
      <c r="C20" s="27">
        <v>161</v>
      </c>
      <c r="J20" s="27">
        <v>56</v>
      </c>
    </row>
    <row r="21" spans="3:14" x14ac:dyDescent="0.3">
      <c r="C21" s="27">
        <v>161</v>
      </c>
      <c r="J21" s="27">
        <v>57</v>
      </c>
    </row>
    <row r="22" spans="3:14" x14ac:dyDescent="0.3">
      <c r="C22" s="27">
        <v>162</v>
      </c>
      <c r="J22" s="27">
        <v>57</v>
      </c>
    </row>
    <row r="23" spans="3:14" x14ac:dyDescent="0.3">
      <c r="C23" s="27">
        <v>162</v>
      </c>
      <c r="J23" s="27">
        <v>57</v>
      </c>
    </row>
    <row r="24" spans="3:14" x14ac:dyDescent="0.3">
      <c r="C24" s="27">
        <v>162</v>
      </c>
      <c r="J24" s="27">
        <v>57</v>
      </c>
    </row>
    <row r="25" spans="3:14" x14ac:dyDescent="0.3">
      <c r="C25" s="27">
        <v>162</v>
      </c>
      <c r="J25" s="27">
        <v>58</v>
      </c>
    </row>
    <row r="26" spans="3:14" x14ac:dyDescent="0.3">
      <c r="C26" s="27">
        <v>162</v>
      </c>
      <c r="J26" s="27">
        <v>58</v>
      </c>
    </row>
    <row r="27" spans="3:14" x14ac:dyDescent="0.3">
      <c r="C27" s="27">
        <v>163</v>
      </c>
      <c r="J27" s="27">
        <v>58</v>
      </c>
    </row>
    <row r="28" spans="3:14" x14ac:dyDescent="0.3">
      <c r="C28" s="27">
        <v>163</v>
      </c>
      <c r="J28" s="27">
        <v>59</v>
      </c>
    </row>
    <row r="29" spans="3:14" x14ac:dyDescent="0.3">
      <c r="C29" s="27">
        <v>163</v>
      </c>
      <c r="J29" s="27">
        <v>59</v>
      </c>
    </row>
    <row r="30" spans="3:14" x14ac:dyDescent="0.3">
      <c r="C30" s="27">
        <v>163</v>
      </c>
      <c r="J30" s="27">
        <v>59</v>
      </c>
    </row>
    <row r="31" spans="3:14" x14ac:dyDescent="0.3">
      <c r="C31" s="27">
        <v>163</v>
      </c>
      <c r="J31" s="27">
        <v>59</v>
      </c>
    </row>
    <row r="32" spans="3:14" x14ac:dyDescent="0.3">
      <c r="C32" s="27">
        <v>163</v>
      </c>
      <c r="J32" s="27">
        <v>60</v>
      </c>
    </row>
    <row r="33" spans="3:10" x14ac:dyDescent="0.3">
      <c r="C33" s="27">
        <v>163</v>
      </c>
      <c r="J33" s="27">
        <v>60</v>
      </c>
    </row>
    <row r="34" spans="3:10" x14ac:dyDescent="0.3">
      <c r="C34" s="27">
        <v>163</v>
      </c>
      <c r="J34" s="27">
        <v>60</v>
      </c>
    </row>
    <row r="35" spans="3:10" x14ac:dyDescent="0.3">
      <c r="C35" s="27">
        <v>164</v>
      </c>
      <c r="J35" s="27">
        <v>60</v>
      </c>
    </row>
    <row r="36" spans="3:10" x14ac:dyDescent="0.3">
      <c r="C36" s="27">
        <v>164</v>
      </c>
      <c r="J36" s="27">
        <v>60</v>
      </c>
    </row>
    <row r="37" spans="3:10" x14ac:dyDescent="0.3">
      <c r="C37" s="27">
        <v>164</v>
      </c>
      <c r="J37" s="27">
        <v>60</v>
      </c>
    </row>
    <row r="38" spans="3:10" x14ac:dyDescent="0.3">
      <c r="C38" s="27">
        <v>164</v>
      </c>
      <c r="J38" s="27">
        <v>60</v>
      </c>
    </row>
    <row r="39" spans="3:10" x14ac:dyDescent="0.3">
      <c r="C39" s="27">
        <v>164</v>
      </c>
      <c r="J39" s="27">
        <v>60</v>
      </c>
    </row>
    <row r="40" spans="3:10" x14ac:dyDescent="0.3">
      <c r="C40" s="27">
        <v>164</v>
      </c>
      <c r="J40" s="27">
        <v>60</v>
      </c>
    </row>
    <row r="41" spans="3:10" x14ac:dyDescent="0.3">
      <c r="C41" s="27">
        <v>164</v>
      </c>
      <c r="J41" s="27">
        <v>60</v>
      </c>
    </row>
    <row r="42" spans="3:10" x14ac:dyDescent="0.3">
      <c r="C42" s="27">
        <v>164</v>
      </c>
      <c r="J42" s="27">
        <v>60</v>
      </c>
    </row>
    <row r="43" spans="3:10" x14ac:dyDescent="0.3">
      <c r="C43" s="27">
        <v>164</v>
      </c>
      <c r="J43" s="27">
        <v>60</v>
      </c>
    </row>
    <row r="44" spans="3:10" x14ac:dyDescent="0.3">
      <c r="C44" s="27">
        <v>164</v>
      </c>
      <c r="J44" s="27">
        <v>60</v>
      </c>
    </row>
    <row r="45" spans="3:10" x14ac:dyDescent="0.3">
      <c r="C45" s="27">
        <v>164</v>
      </c>
      <c r="J45" s="27">
        <v>61</v>
      </c>
    </row>
    <row r="46" spans="3:10" x14ac:dyDescent="0.3">
      <c r="C46" s="27">
        <v>165</v>
      </c>
      <c r="J46" s="27">
        <v>61</v>
      </c>
    </row>
    <row r="47" spans="3:10" x14ac:dyDescent="0.3">
      <c r="C47" s="27">
        <v>165</v>
      </c>
      <c r="J47" s="27">
        <v>61</v>
      </c>
    </row>
    <row r="48" spans="3:10" x14ac:dyDescent="0.3">
      <c r="C48" s="27">
        <v>165</v>
      </c>
      <c r="J48" s="27">
        <v>61</v>
      </c>
    </row>
    <row r="49" spans="3:10" x14ac:dyDescent="0.3">
      <c r="C49" s="27">
        <v>165</v>
      </c>
      <c r="J49" s="27">
        <v>61</v>
      </c>
    </row>
    <row r="50" spans="3:10" x14ac:dyDescent="0.3">
      <c r="C50" s="27">
        <v>165</v>
      </c>
      <c r="J50" s="27">
        <v>61</v>
      </c>
    </row>
    <row r="51" spans="3:10" x14ac:dyDescent="0.3">
      <c r="C51" s="27">
        <v>165</v>
      </c>
      <c r="J51" s="27">
        <v>61</v>
      </c>
    </row>
    <row r="52" spans="3:10" x14ac:dyDescent="0.3">
      <c r="C52" s="27">
        <v>165</v>
      </c>
      <c r="J52" s="27">
        <v>61</v>
      </c>
    </row>
    <row r="53" spans="3:10" x14ac:dyDescent="0.3">
      <c r="C53" s="27">
        <v>165</v>
      </c>
      <c r="J53" s="27">
        <v>61</v>
      </c>
    </row>
    <row r="54" spans="3:10" x14ac:dyDescent="0.3">
      <c r="C54" s="27">
        <v>165</v>
      </c>
      <c r="J54" s="27">
        <v>61</v>
      </c>
    </row>
    <row r="55" spans="3:10" x14ac:dyDescent="0.3">
      <c r="C55" s="27">
        <v>165</v>
      </c>
      <c r="J55" s="27">
        <v>61</v>
      </c>
    </row>
    <row r="56" spans="3:10" x14ac:dyDescent="0.3">
      <c r="C56" s="27">
        <v>165</v>
      </c>
      <c r="J56" s="27">
        <v>61</v>
      </c>
    </row>
    <row r="57" spans="3:10" x14ac:dyDescent="0.3">
      <c r="C57" s="27">
        <v>166</v>
      </c>
      <c r="J57" s="27">
        <v>61</v>
      </c>
    </row>
    <row r="58" spans="3:10" x14ac:dyDescent="0.3">
      <c r="C58" s="27">
        <v>166</v>
      </c>
      <c r="J58" s="27">
        <v>62</v>
      </c>
    </row>
    <row r="59" spans="3:10" x14ac:dyDescent="0.3">
      <c r="C59" s="27">
        <v>166</v>
      </c>
      <c r="J59" s="27">
        <v>62</v>
      </c>
    </row>
    <row r="60" spans="3:10" x14ac:dyDescent="0.3">
      <c r="C60" s="27">
        <v>166</v>
      </c>
      <c r="J60" s="27">
        <v>62</v>
      </c>
    </row>
    <row r="61" spans="3:10" x14ac:dyDescent="0.3">
      <c r="C61" s="27">
        <v>166</v>
      </c>
      <c r="J61" s="27">
        <v>62</v>
      </c>
    </row>
    <row r="62" spans="3:10" x14ac:dyDescent="0.3">
      <c r="C62" s="27">
        <v>166</v>
      </c>
      <c r="J62" s="27">
        <v>62</v>
      </c>
    </row>
    <row r="63" spans="3:10" x14ac:dyDescent="0.3">
      <c r="C63" s="27">
        <v>166</v>
      </c>
      <c r="J63" s="27">
        <v>62</v>
      </c>
    </row>
    <row r="64" spans="3:10" x14ac:dyDescent="0.3">
      <c r="C64" s="27">
        <v>166</v>
      </c>
      <c r="J64" s="27">
        <v>62</v>
      </c>
    </row>
    <row r="65" spans="3:10" x14ac:dyDescent="0.3">
      <c r="C65" s="27">
        <v>166</v>
      </c>
      <c r="J65" s="27">
        <v>62</v>
      </c>
    </row>
    <row r="66" spans="3:10" x14ac:dyDescent="0.3">
      <c r="C66" s="27">
        <v>166</v>
      </c>
      <c r="J66" s="27">
        <v>62</v>
      </c>
    </row>
    <row r="67" spans="3:10" x14ac:dyDescent="0.3">
      <c r="C67" s="27">
        <v>166</v>
      </c>
      <c r="J67" s="27">
        <v>62</v>
      </c>
    </row>
    <row r="68" spans="3:10" x14ac:dyDescent="0.3">
      <c r="C68" s="27">
        <v>166</v>
      </c>
      <c r="J68" s="27">
        <v>62</v>
      </c>
    </row>
    <row r="69" spans="3:10" x14ac:dyDescent="0.3">
      <c r="C69" s="27">
        <v>167</v>
      </c>
      <c r="J69" s="27">
        <v>62</v>
      </c>
    </row>
    <row r="70" spans="3:10" x14ac:dyDescent="0.3">
      <c r="C70" s="27">
        <v>167</v>
      </c>
      <c r="J70" s="27">
        <v>62</v>
      </c>
    </row>
    <row r="71" spans="3:10" x14ac:dyDescent="0.3">
      <c r="C71" s="27">
        <v>167</v>
      </c>
      <c r="J71" s="27">
        <v>63</v>
      </c>
    </row>
    <row r="72" spans="3:10" x14ac:dyDescent="0.3">
      <c r="C72" s="27">
        <v>167</v>
      </c>
      <c r="J72" s="27">
        <v>63</v>
      </c>
    </row>
    <row r="73" spans="3:10" x14ac:dyDescent="0.3">
      <c r="C73" s="27">
        <v>167</v>
      </c>
      <c r="J73" s="27">
        <v>63</v>
      </c>
    </row>
    <row r="74" spans="3:10" x14ac:dyDescent="0.3">
      <c r="C74" s="27">
        <v>167</v>
      </c>
      <c r="J74" s="27">
        <v>63</v>
      </c>
    </row>
    <row r="75" spans="3:10" x14ac:dyDescent="0.3">
      <c r="C75" s="27">
        <v>167</v>
      </c>
      <c r="J75" s="27">
        <v>63</v>
      </c>
    </row>
    <row r="76" spans="3:10" x14ac:dyDescent="0.3">
      <c r="C76" s="27">
        <v>167</v>
      </c>
      <c r="J76" s="27">
        <v>63</v>
      </c>
    </row>
    <row r="77" spans="3:10" x14ac:dyDescent="0.3">
      <c r="C77" s="27">
        <v>167</v>
      </c>
      <c r="J77" s="27">
        <v>63</v>
      </c>
    </row>
    <row r="78" spans="3:10" x14ac:dyDescent="0.3">
      <c r="C78" s="27">
        <v>167</v>
      </c>
      <c r="J78" s="27">
        <v>63</v>
      </c>
    </row>
    <row r="79" spans="3:10" x14ac:dyDescent="0.3">
      <c r="C79" s="27">
        <v>167</v>
      </c>
      <c r="J79" s="27">
        <v>63</v>
      </c>
    </row>
    <row r="80" spans="3:10" x14ac:dyDescent="0.3">
      <c r="C80" s="27">
        <v>167</v>
      </c>
      <c r="J80" s="27">
        <v>63</v>
      </c>
    </row>
    <row r="81" spans="3:10" x14ac:dyDescent="0.3">
      <c r="C81" s="27">
        <v>167</v>
      </c>
      <c r="J81" s="27">
        <v>63</v>
      </c>
    </row>
    <row r="82" spans="3:10" x14ac:dyDescent="0.3">
      <c r="C82" s="27">
        <v>167</v>
      </c>
      <c r="J82" s="27">
        <v>63</v>
      </c>
    </row>
    <row r="83" spans="3:10" x14ac:dyDescent="0.3">
      <c r="C83" s="27">
        <v>168</v>
      </c>
      <c r="J83" s="27">
        <v>63</v>
      </c>
    </row>
    <row r="84" spans="3:10" x14ac:dyDescent="0.3">
      <c r="C84" s="27">
        <v>168</v>
      </c>
      <c r="J84" s="27">
        <v>63</v>
      </c>
    </row>
    <row r="85" spans="3:10" x14ac:dyDescent="0.3">
      <c r="C85" s="27">
        <v>168</v>
      </c>
      <c r="J85" s="27">
        <v>64</v>
      </c>
    </row>
    <row r="86" spans="3:10" x14ac:dyDescent="0.3">
      <c r="C86" s="27">
        <v>168</v>
      </c>
      <c r="J86" s="27">
        <v>64</v>
      </c>
    </row>
    <row r="87" spans="3:10" x14ac:dyDescent="0.3">
      <c r="C87" s="27">
        <v>168</v>
      </c>
      <c r="J87" s="27">
        <v>64</v>
      </c>
    </row>
    <row r="88" spans="3:10" x14ac:dyDescent="0.3">
      <c r="C88" s="27">
        <v>168</v>
      </c>
      <c r="J88" s="27">
        <v>64</v>
      </c>
    </row>
    <row r="89" spans="3:10" x14ac:dyDescent="0.3">
      <c r="C89" s="27">
        <v>168</v>
      </c>
      <c r="J89" s="27">
        <v>64</v>
      </c>
    </row>
    <row r="90" spans="3:10" x14ac:dyDescent="0.3">
      <c r="C90" s="27">
        <v>168</v>
      </c>
      <c r="J90" s="27">
        <v>64</v>
      </c>
    </row>
    <row r="91" spans="3:10" x14ac:dyDescent="0.3">
      <c r="C91" s="27">
        <v>168</v>
      </c>
      <c r="J91" s="27">
        <v>64</v>
      </c>
    </row>
    <row r="92" spans="3:10" x14ac:dyDescent="0.3">
      <c r="C92" s="27">
        <v>168</v>
      </c>
      <c r="J92" s="27">
        <v>64</v>
      </c>
    </row>
    <row r="93" spans="3:10" x14ac:dyDescent="0.3">
      <c r="C93" s="27">
        <v>169</v>
      </c>
      <c r="J93" s="27">
        <v>64</v>
      </c>
    </row>
    <row r="94" spans="3:10" x14ac:dyDescent="0.3">
      <c r="C94" s="27">
        <v>169</v>
      </c>
      <c r="J94" s="27">
        <v>64</v>
      </c>
    </row>
    <row r="95" spans="3:10" x14ac:dyDescent="0.3">
      <c r="C95" s="27">
        <v>169</v>
      </c>
      <c r="J95" s="27">
        <v>64</v>
      </c>
    </row>
    <row r="96" spans="3:10" x14ac:dyDescent="0.3">
      <c r="C96" s="27">
        <v>169</v>
      </c>
      <c r="J96" s="27">
        <v>64</v>
      </c>
    </row>
    <row r="97" spans="3:10" x14ac:dyDescent="0.3">
      <c r="C97" s="27">
        <v>169</v>
      </c>
      <c r="J97" s="27">
        <v>64</v>
      </c>
    </row>
    <row r="98" spans="3:10" x14ac:dyDescent="0.3">
      <c r="C98" s="27">
        <v>169</v>
      </c>
      <c r="J98" s="27">
        <v>64</v>
      </c>
    </row>
    <row r="99" spans="3:10" x14ac:dyDescent="0.3">
      <c r="C99" s="27">
        <v>169</v>
      </c>
      <c r="J99" s="27">
        <v>65</v>
      </c>
    </row>
    <row r="100" spans="3:10" x14ac:dyDescent="0.3">
      <c r="C100" s="27">
        <v>169</v>
      </c>
      <c r="J100" s="27">
        <v>65</v>
      </c>
    </row>
    <row r="101" spans="3:10" x14ac:dyDescent="0.3">
      <c r="C101" s="27">
        <v>169</v>
      </c>
      <c r="J101" s="27">
        <v>65</v>
      </c>
    </row>
    <row r="102" spans="3:10" x14ac:dyDescent="0.3">
      <c r="C102" s="27">
        <v>169</v>
      </c>
      <c r="J102" s="27">
        <v>65</v>
      </c>
    </row>
    <row r="103" spans="3:10" x14ac:dyDescent="0.3">
      <c r="C103" s="27">
        <v>169</v>
      </c>
      <c r="J103" s="27">
        <v>65</v>
      </c>
    </row>
    <row r="104" spans="3:10" x14ac:dyDescent="0.3">
      <c r="C104" s="27">
        <v>169</v>
      </c>
      <c r="J104" s="27">
        <v>65</v>
      </c>
    </row>
    <row r="105" spans="3:10" x14ac:dyDescent="0.3">
      <c r="C105" s="27">
        <v>169</v>
      </c>
      <c r="J105" s="27">
        <v>65</v>
      </c>
    </row>
    <row r="106" spans="3:10" x14ac:dyDescent="0.3">
      <c r="C106" s="27">
        <v>169</v>
      </c>
      <c r="J106" s="27">
        <v>65</v>
      </c>
    </row>
    <row r="107" spans="3:10" x14ac:dyDescent="0.3">
      <c r="C107" s="27">
        <v>170</v>
      </c>
      <c r="J107" s="27">
        <v>65</v>
      </c>
    </row>
    <row r="108" spans="3:10" x14ac:dyDescent="0.3">
      <c r="C108" s="27">
        <v>170</v>
      </c>
      <c r="J108" s="27">
        <v>65</v>
      </c>
    </row>
    <row r="109" spans="3:10" x14ac:dyDescent="0.3">
      <c r="C109" s="27">
        <v>170</v>
      </c>
      <c r="J109" s="27">
        <v>66</v>
      </c>
    </row>
    <row r="110" spans="3:10" x14ac:dyDescent="0.3">
      <c r="C110" s="27">
        <v>170</v>
      </c>
      <c r="J110" s="27">
        <v>66</v>
      </c>
    </row>
    <row r="111" spans="3:10" x14ac:dyDescent="0.3">
      <c r="C111" s="27">
        <v>170</v>
      </c>
      <c r="J111" s="27">
        <v>66</v>
      </c>
    </row>
    <row r="112" spans="3:10" x14ac:dyDescent="0.3">
      <c r="C112" s="27">
        <v>170</v>
      </c>
      <c r="J112" s="27">
        <v>66</v>
      </c>
    </row>
    <row r="113" spans="3:10" x14ac:dyDescent="0.3">
      <c r="C113" s="27">
        <v>170</v>
      </c>
      <c r="J113" s="27">
        <v>66</v>
      </c>
    </row>
    <row r="114" spans="3:10" x14ac:dyDescent="0.3">
      <c r="C114" s="27">
        <v>170</v>
      </c>
      <c r="J114" s="27">
        <v>66</v>
      </c>
    </row>
    <row r="115" spans="3:10" x14ac:dyDescent="0.3">
      <c r="C115" s="27">
        <v>170</v>
      </c>
      <c r="J115" s="27">
        <v>66</v>
      </c>
    </row>
    <row r="116" spans="3:10" x14ac:dyDescent="0.3">
      <c r="C116" s="27">
        <v>170</v>
      </c>
      <c r="J116" s="27">
        <v>66</v>
      </c>
    </row>
    <row r="117" spans="3:10" x14ac:dyDescent="0.3">
      <c r="C117" s="27">
        <v>170</v>
      </c>
      <c r="J117" s="27">
        <v>66</v>
      </c>
    </row>
    <row r="118" spans="3:10" x14ac:dyDescent="0.3">
      <c r="C118" s="27">
        <v>171</v>
      </c>
      <c r="J118" s="27">
        <v>66</v>
      </c>
    </row>
    <row r="119" spans="3:10" x14ac:dyDescent="0.3">
      <c r="C119" s="27">
        <v>171</v>
      </c>
      <c r="J119" s="27">
        <v>66</v>
      </c>
    </row>
    <row r="120" spans="3:10" x14ac:dyDescent="0.3">
      <c r="C120" s="27">
        <v>171</v>
      </c>
      <c r="J120" s="27">
        <v>66</v>
      </c>
    </row>
    <row r="121" spans="3:10" x14ac:dyDescent="0.3">
      <c r="C121" s="27">
        <v>171</v>
      </c>
      <c r="J121" s="27">
        <v>66</v>
      </c>
    </row>
    <row r="122" spans="3:10" x14ac:dyDescent="0.3">
      <c r="C122" s="27">
        <v>171</v>
      </c>
      <c r="J122" s="27">
        <v>66</v>
      </c>
    </row>
    <row r="123" spans="3:10" x14ac:dyDescent="0.3">
      <c r="C123" s="27">
        <v>171</v>
      </c>
      <c r="J123" s="27">
        <v>66</v>
      </c>
    </row>
    <row r="124" spans="3:10" x14ac:dyDescent="0.3">
      <c r="C124" s="27">
        <v>171</v>
      </c>
      <c r="J124" s="27">
        <v>67</v>
      </c>
    </row>
    <row r="125" spans="3:10" x14ac:dyDescent="0.3">
      <c r="C125" s="27">
        <v>171</v>
      </c>
      <c r="J125" s="27">
        <v>67</v>
      </c>
    </row>
    <row r="126" spans="3:10" x14ac:dyDescent="0.3">
      <c r="C126" s="27">
        <v>171</v>
      </c>
      <c r="J126" s="27">
        <v>67</v>
      </c>
    </row>
    <row r="127" spans="3:10" x14ac:dyDescent="0.3">
      <c r="C127" s="27">
        <v>171</v>
      </c>
      <c r="J127" s="27">
        <v>67</v>
      </c>
    </row>
    <row r="128" spans="3:10" x14ac:dyDescent="0.3">
      <c r="C128" s="27">
        <v>171</v>
      </c>
      <c r="J128" s="27">
        <v>67</v>
      </c>
    </row>
    <row r="129" spans="3:10" x14ac:dyDescent="0.3">
      <c r="C129" s="27">
        <v>171</v>
      </c>
      <c r="J129" s="27">
        <v>67</v>
      </c>
    </row>
    <row r="130" spans="3:10" x14ac:dyDescent="0.3">
      <c r="C130" s="27">
        <v>171</v>
      </c>
      <c r="J130" s="27">
        <v>67</v>
      </c>
    </row>
    <row r="131" spans="3:10" x14ac:dyDescent="0.3">
      <c r="C131" s="27">
        <v>171</v>
      </c>
      <c r="J131" s="27">
        <v>67</v>
      </c>
    </row>
    <row r="132" spans="3:10" x14ac:dyDescent="0.3">
      <c r="C132" s="27">
        <v>171</v>
      </c>
      <c r="J132" s="27">
        <v>67</v>
      </c>
    </row>
    <row r="133" spans="3:10" x14ac:dyDescent="0.3">
      <c r="C133" s="27">
        <v>171</v>
      </c>
      <c r="J133" s="27">
        <v>67</v>
      </c>
    </row>
    <row r="134" spans="3:10" x14ac:dyDescent="0.3">
      <c r="C134" s="27">
        <v>171</v>
      </c>
      <c r="J134" s="27">
        <v>67</v>
      </c>
    </row>
    <row r="135" spans="3:10" x14ac:dyDescent="0.3">
      <c r="C135" s="27">
        <v>171</v>
      </c>
      <c r="J135" s="27">
        <v>67</v>
      </c>
    </row>
    <row r="136" spans="3:10" x14ac:dyDescent="0.3">
      <c r="C136" s="27">
        <v>171</v>
      </c>
      <c r="J136" s="27">
        <v>67</v>
      </c>
    </row>
    <row r="137" spans="3:10" x14ac:dyDescent="0.3">
      <c r="C137" s="27">
        <v>172</v>
      </c>
      <c r="J137" s="27">
        <v>67</v>
      </c>
    </row>
    <row r="138" spans="3:10" x14ac:dyDescent="0.3">
      <c r="C138" s="27">
        <v>172</v>
      </c>
      <c r="J138" s="27">
        <v>67</v>
      </c>
    </row>
    <row r="139" spans="3:10" x14ac:dyDescent="0.3">
      <c r="C139" s="27">
        <v>172</v>
      </c>
      <c r="J139" s="27">
        <v>67</v>
      </c>
    </row>
    <row r="140" spans="3:10" x14ac:dyDescent="0.3">
      <c r="C140" s="27">
        <v>172</v>
      </c>
      <c r="J140" s="27">
        <v>67</v>
      </c>
    </row>
    <row r="141" spans="3:10" x14ac:dyDescent="0.3">
      <c r="C141" s="27">
        <v>172</v>
      </c>
      <c r="J141" s="27">
        <v>67</v>
      </c>
    </row>
    <row r="142" spans="3:10" x14ac:dyDescent="0.3">
      <c r="C142" s="27">
        <v>172</v>
      </c>
      <c r="J142" s="27">
        <v>67</v>
      </c>
    </row>
    <row r="143" spans="3:10" x14ac:dyDescent="0.3">
      <c r="C143" s="27">
        <v>172</v>
      </c>
      <c r="J143" s="27">
        <v>68</v>
      </c>
    </row>
    <row r="144" spans="3:10" x14ac:dyDescent="0.3">
      <c r="C144" s="27">
        <v>172</v>
      </c>
      <c r="J144" s="27">
        <v>68</v>
      </c>
    </row>
    <row r="145" spans="3:10" x14ac:dyDescent="0.3">
      <c r="C145" s="27">
        <v>172</v>
      </c>
      <c r="J145" s="27">
        <v>68</v>
      </c>
    </row>
    <row r="146" spans="3:10" x14ac:dyDescent="0.3">
      <c r="C146" s="27">
        <v>172</v>
      </c>
      <c r="J146" s="27">
        <v>68</v>
      </c>
    </row>
    <row r="147" spans="3:10" x14ac:dyDescent="0.3">
      <c r="C147" s="27">
        <v>172</v>
      </c>
      <c r="J147" s="27">
        <v>68</v>
      </c>
    </row>
    <row r="148" spans="3:10" x14ac:dyDescent="0.3">
      <c r="C148" s="27">
        <v>172</v>
      </c>
      <c r="J148" s="27">
        <v>69</v>
      </c>
    </row>
    <row r="149" spans="3:10" x14ac:dyDescent="0.3">
      <c r="C149" s="27">
        <v>172</v>
      </c>
      <c r="J149" s="27">
        <v>69</v>
      </c>
    </row>
    <row r="150" spans="3:10" x14ac:dyDescent="0.3">
      <c r="C150" s="27">
        <v>173</v>
      </c>
      <c r="J150" s="27">
        <v>69</v>
      </c>
    </row>
    <row r="151" spans="3:10" x14ac:dyDescent="0.3">
      <c r="C151" s="27">
        <v>173</v>
      </c>
      <c r="J151" s="27">
        <v>69</v>
      </c>
    </row>
    <row r="152" spans="3:10" x14ac:dyDescent="0.3">
      <c r="C152" s="27">
        <v>173</v>
      </c>
      <c r="J152" s="27">
        <v>69</v>
      </c>
    </row>
    <row r="153" spans="3:10" x14ac:dyDescent="0.3">
      <c r="C153" s="27">
        <v>173</v>
      </c>
      <c r="J153" s="27">
        <v>69</v>
      </c>
    </row>
    <row r="154" spans="3:10" x14ac:dyDescent="0.3">
      <c r="C154" s="27">
        <v>173</v>
      </c>
      <c r="J154" s="27">
        <v>70</v>
      </c>
    </row>
    <row r="155" spans="3:10" x14ac:dyDescent="0.3">
      <c r="C155" s="27">
        <v>173</v>
      </c>
      <c r="J155" s="27">
        <v>70</v>
      </c>
    </row>
    <row r="156" spans="3:10" x14ac:dyDescent="0.3">
      <c r="C156" s="27">
        <v>173</v>
      </c>
      <c r="J156" s="27">
        <v>70</v>
      </c>
    </row>
    <row r="157" spans="3:10" x14ac:dyDescent="0.3">
      <c r="C157" s="27">
        <v>173</v>
      </c>
      <c r="J157" s="27">
        <v>70</v>
      </c>
    </row>
    <row r="158" spans="3:10" x14ac:dyDescent="0.3">
      <c r="C158" s="27">
        <v>174</v>
      </c>
      <c r="J158" s="27">
        <v>70</v>
      </c>
    </row>
    <row r="159" spans="3:10" x14ac:dyDescent="0.3">
      <c r="C159" s="27">
        <v>174</v>
      </c>
      <c r="J159" s="27">
        <v>70</v>
      </c>
    </row>
    <row r="160" spans="3:10" x14ac:dyDescent="0.3">
      <c r="C160" s="27">
        <v>174</v>
      </c>
      <c r="J160" s="27">
        <v>71</v>
      </c>
    </row>
    <row r="161" spans="3:10" x14ac:dyDescent="0.3">
      <c r="C161" s="27">
        <v>174</v>
      </c>
      <c r="J161" s="27">
        <v>71</v>
      </c>
    </row>
    <row r="162" spans="3:10" x14ac:dyDescent="0.3">
      <c r="C162" s="27">
        <v>174</v>
      </c>
      <c r="J162" s="27">
        <v>71</v>
      </c>
    </row>
    <row r="163" spans="3:10" x14ac:dyDescent="0.3">
      <c r="C163" s="27">
        <v>175</v>
      </c>
      <c r="J163" s="27">
        <v>71</v>
      </c>
    </row>
    <row r="164" spans="3:10" x14ac:dyDescent="0.3">
      <c r="C164" s="27">
        <v>175</v>
      </c>
      <c r="J164" s="27">
        <v>71</v>
      </c>
    </row>
    <row r="165" spans="3:10" x14ac:dyDescent="0.3">
      <c r="C165" s="27">
        <v>175</v>
      </c>
      <c r="J165" s="27">
        <v>71</v>
      </c>
    </row>
    <row r="166" spans="3:10" x14ac:dyDescent="0.3">
      <c r="C166" s="27">
        <v>175</v>
      </c>
      <c r="J166" s="27">
        <v>71</v>
      </c>
    </row>
    <row r="167" spans="3:10" x14ac:dyDescent="0.3">
      <c r="C167" s="27">
        <v>175</v>
      </c>
      <c r="J167" s="27">
        <v>71</v>
      </c>
    </row>
    <row r="168" spans="3:10" x14ac:dyDescent="0.3">
      <c r="C168" s="27">
        <v>175</v>
      </c>
      <c r="J168" s="27">
        <v>71</v>
      </c>
    </row>
    <row r="169" spans="3:10" x14ac:dyDescent="0.3">
      <c r="C169" s="27">
        <v>176</v>
      </c>
      <c r="J169" s="27">
        <v>71</v>
      </c>
    </row>
    <row r="170" spans="3:10" x14ac:dyDescent="0.3">
      <c r="C170" s="27">
        <v>176</v>
      </c>
      <c r="J170" s="27">
        <v>72</v>
      </c>
    </row>
    <row r="171" spans="3:10" x14ac:dyDescent="0.3">
      <c r="C171" s="27">
        <v>176</v>
      </c>
      <c r="J171" s="27">
        <v>72</v>
      </c>
    </row>
    <row r="172" spans="3:10" x14ac:dyDescent="0.3">
      <c r="C172" s="27">
        <v>176</v>
      </c>
      <c r="J172" s="27">
        <v>72</v>
      </c>
    </row>
    <row r="173" spans="3:10" x14ac:dyDescent="0.3">
      <c r="C173" s="27">
        <v>176</v>
      </c>
      <c r="J173" s="27">
        <v>72</v>
      </c>
    </row>
    <row r="174" spans="3:10" x14ac:dyDescent="0.3">
      <c r="C174" s="27">
        <v>176</v>
      </c>
      <c r="J174" s="27">
        <v>72</v>
      </c>
    </row>
    <row r="175" spans="3:10" x14ac:dyDescent="0.3">
      <c r="C175" s="27">
        <v>176</v>
      </c>
      <c r="J175" s="27">
        <v>73</v>
      </c>
    </row>
    <row r="176" spans="3:10" x14ac:dyDescent="0.3">
      <c r="C176" s="27">
        <v>176</v>
      </c>
      <c r="J176" s="27">
        <v>73</v>
      </c>
    </row>
    <row r="177" spans="3:10" x14ac:dyDescent="0.3">
      <c r="C177" s="27">
        <v>177</v>
      </c>
      <c r="J177" s="27">
        <v>73</v>
      </c>
    </row>
    <row r="178" spans="3:10" x14ac:dyDescent="0.3">
      <c r="C178" s="27">
        <v>177</v>
      </c>
      <c r="J178" s="27">
        <v>73</v>
      </c>
    </row>
    <row r="179" spans="3:10" x14ac:dyDescent="0.3">
      <c r="C179" s="27">
        <v>177</v>
      </c>
      <c r="J179" s="27">
        <v>74</v>
      </c>
    </row>
    <row r="180" spans="3:10" x14ac:dyDescent="0.3">
      <c r="C180" s="27">
        <v>177</v>
      </c>
      <c r="J180" s="27">
        <v>74</v>
      </c>
    </row>
    <row r="181" spans="3:10" x14ac:dyDescent="0.3">
      <c r="C181" s="27">
        <v>177</v>
      </c>
      <c r="J181" s="27">
        <v>75</v>
      </c>
    </row>
    <row r="182" spans="3:10" x14ac:dyDescent="0.3">
      <c r="C182" s="27">
        <v>178</v>
      </c>
      <c r="J182" s="27">
        <v>75</v>
      </c>
    </row>
    <row r="183" spans="3:10" x14ac:dyDescent="0.3">
      <c r="C183" s="27">
        <v>178</v>
      </c>
      <c r="J183" s="27">
        <v>75</v>
      </c>
    </row>
    <row r="184" spans="3:10" x14ac:dyDescent="0.3">
      <c r="C184" s="27">
        <v>178</v>
      </c>
      <c r="J184" s="27">
        <v>75</v>
      </c>
    </row>
    <row r="185" spans="3:10" x14ac:dyDescent="0.3">
      <c r="C185" s="27">
        <v>178</v>
      </c>
      <c r="J185" s="27">
        <v>75</v>
      </c>
    </row>
    <row r="186" spans="3:10" x14ac:dyDescent="0.3">
      <c r="C186" s="27">
        <v>178</v>
      </c>
      <c r="J186" s="27">
        <v>75</v>
      </c>
    </row>
    <row r="187" spans="3:10" x14ac:dyDescent="0.3">
      <c r="C187" s="27">
        <v>178</v>
      </c>
      <c r="J187" s="27">
        <v>76</v>
      </c>
    </row>
    <row r="188" spans="3:10" x14ac:dyDescent="0.3">
      <c r="C188" s="27">
        <v>179</v>
      </c>
      <c r="J188" s="27">
        <v>76</v>
      </c>
    </row>
    <row r="189" spans="3:10" x14ac:dyDescent="0.3">
      <c r="C189" s="27">
        <v>179</v>
      </c>
      <c r="J189" s="27">
        <v>76</v>
      </c>
    </row>
    <row r="190" spans="3:10" x14ac:dyDescent="0.3">
      <c r="C190" s="27">
        <v>179</v>
      </c>
      <c r="J190" s="27">
        <v>76</v>
      </c>
    </row>
    <row r="191" spans="3:10" x14ac:dyDescent="0.3">
      <c r="C191" s="27">
        <v>179</v>
      </c>
      <c r="J191" s="27">
        <v>76</v>
      </c>
    </row>
    <row r="192" spans="3:10" x14ac:dyDescent="0.3">
      <c r="C192" s="27">
        <v>179</v>
      </c>
      <c r="J192" s="27">
        <v>77</v>
      </c>
    </row>
    <row r="193" spans="3:10" x14ac:dyDescent="0.3">
      <c r="C193" s="27">
        <v>180</v>
      </c>
      <c r="J193" s="27">
        <v>77</v>
      </c>
    </row>
    <row r="194" spans="3:10" x14ac:dyDescent="0.3">
      <c r="C194" s="27">
        <v>180</v>
      </c>
      <c r="J194" s="27">
        <v>77</v>
      </c>
    </row>
    <row r="195" spans="3:10" x14ac:dyDescent="0.3">
      <c r="C195" s="27">
        <v>180</v>
      </c>
      <c r="J195" s="27">
        <v>78</v>
      </c>
    </row>
    <row r="196" spans="3:10" x14ac:dyDescent="0.3">
      <c r="C196" s="27">
        <v>182</v>
      </c>
      <c r="J196" s="27">
        <v>78</v>
      </c>
    </row>
    <row r="197" spans="3:10" x14ac:dyDescent="0.3">
      <c r="C197" s="27">
        <v>182</v>
      </c>
      <c r="J197" s="27">
        <v>78</v>
      </c>
    </row>
    <row r="198" spans="3:10" x14ac:dyDescent="0.3">
      <c r="C198" s="27">
        <v>184</v>
      </c>
      <c r="J198" s="27">
        <v>80</v>
      </c>
    </row>
    <row r="199" spans="3:10" x14ac:dyDescent="0.3">
      <c r="C199" s="27">
        <v>186</v>
      </c>
      <c r="J199" s="27">
        <v>80</v>
      </c>
    </row>
    <row r="200" spans="3:10" x14ac:dyDescent="0.3">
      <c r="C200" s="27">
        <v>190</v>
      </c>
      <c r="J200" s="27">
        <v>80</v>
      </c>
    </row>
    <row r="201" spans="3:10" x14ac:dyDescent="0.3">
      <c r="C201" s="27">
        <v>196</v>
      </c>
      <c r="J201" s="27">
        <v>80</v>
      </c>
    </row>
  </sheetData>
  <mergeCells count="2">
    <mergeCell ref="F1:G1"/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BF90-AEF4-413B-B50E-3963909E3212}">
  <dimension ref="A1:K201"/>
  <sheetViews>
    <sheetView workbookViewId="0">
      <selection activeCell="B2" sqref="B2"/>
    </sheetView>
  </sheetViews>
  <sheetFormatPr defaultRowHeight="15.6" x14ac:dyDescent="0.3"/>
  <cols>
    <col min="1" max="1" width="68.21875" style="7" customWidth="1"/>
    <col min="2" max="10" width="8.88671875" style="7"/>
    <col min="11" max="11" width="33.44140625" style="7" bestFit="1" customWidth="1"/>
  </cols>
  <sheetData>
    <row r="1" spans="1:11" x14ac:dyDescent="0.3">
      <c r="A1" s="7" t="s">
        <v>50</v>
      </c>
      <c r="C1" s="26" t="s">
        <v>1</v>
      </c>
      <c r="F1" s="23" t="s">
        <v>40</v>
      </c>
      <c r="G1" s="23"/>
      <c r="K1" s="7" t="s">
        <v>57</v>
      </c>
    </row>
    <row r="2" spans="1:11" x14ac:dyDescent="0.3">
      <c r="A2" s="7" t="s">
        <v>51</v>
      </c>
      <c r="C2" s="27">
        <v>156</v>
      </c>
      <c r="D2" s="9"/>
      <c r="E2" s="9" t="s">
        <v>39</v>
      </c>
      <c r="F2" s="9" t="s">
        <v>41</v>
      </c>
      <c r="G2" s="9" t="s">
        <v>42</v>
      </c>
      <c r="H2" s="9" t="s">
        <v>52</v>
      </c>
      <c r="I2" s="9" t="s">
        <v>53</v>
      </c>
      <c r="J2" s="9" t="s">
        <v>55</v>
      </c>
      <c r="K2" s="32" t="s">
        <v>56</v>
      </c>
    </row>
    <row r="3" spans="1:11" x14ac:dyDescent="0.3">
      <c r="C3" s="27">
        <v>157</v>
      </c>
      <c r="D3" s="9"/>
      <c r="E3" s="9">
        <v>1</v>
      </c>
      <c r="F3" s="9">
        <f>C2</f>
        <v>156</v>
      </c>
      <c r="G3" s="9">
        <f>F3+$G$19</f>
        <v>160</v>
      </c>
      <c r="H3" s="9" cm="1">
        <f t="array" ref="H3:H13">FREQUENCY(Рост,G3:G12)</f>
        <v>11</v>
      </c>
      <c r="I3" s="9">
        <f>(F3+G3)/2</f>
        <v>158</v>
      </c>
      <c r="J3" s="9">
        <f>H3/$I$16</f>
        <v>5.5E-2</v>
      </c>
      <c r="K3" s="32">
        <f>J3</f>
        <v>5.5E-2</v>
      </c>
    </row>
    <row r="4" spans="1:11" x14ac:dyDescent="0.3">
      <c r="C4" s="27">
        <v>157</v>
      </c>
      <c r="D4" s="9"/>
      <c r="E4" s="9">
        <v>2</v>
      </c>
      <c r="F4" s="9">
        <f>G3</f>
        <v>160</v>
      </c>
      <c r="G4" s="9">
        <f t="shared" ref="G4:G12" si="0">F4+$G$19</f>
        <v>164</v>
      </c>
      <c r="H4" s="9">
        <v>33</v>
      </c>
      <c r="I4" s="9">
        <f t="shared" ref="I4:I12" si="1">(F4+G4)/2</f>
        <v>162</v>
      </c>
      <c r="J4" s="9">
        <f t="shared" ref="J4:J12" si="2">H4/$I$16</f>
        <v>0.16500000000000001</v>
      </c>
      <c r="K4" s="32">
        <f>K3+J4</f>
        <v>0.22</v>
      </c>
    </row>
    <row r="5" spans="1:11" x14ac:dyDescent="0.3">
      <c r="C5" s="27">
        <v>157</v>
      </c>
      <c r="D5" s="9"/>
      <c r="E5" s="9">
        <v>3</v>
      </c>
      <c r="F5" s="9">
        <f t="shared" ref="F5:F12" si="3">G4</f>
        <v>164</v>
      </c>
      <c r="G5" s="9">
        <f t="shared" si="0"/>
        <v>168</v>
      </c>
      <c r="H5" s="9">
        <v>47</v>
      </c>
      <c r="I5" s="9">
        <f t="shared" si="1"/>
        <v>166</v>
      </c>
      <c r="J5" s="9">
        <f t="shared" si="2"/>
        <v>0.23499999999999999</v>
      </c>
      <c r="K5" s="32">
        <f t="shared" ref="K5:K12" si="4">K4+J5</f>
        <v>0.45499999999999996</v>
      </c>
    </row>
    <row r="6" spans="1:11" x14ac:dyDescent="0.3">
      <c r="C6" s="27">
        <v>158</v>
      </c>
      <c r="D6" s="9"/>
      <c r="E6" s="9">
        <v>4</v>
      </c>
      <c r="F6" s="9">
        <f t="shared" si="3"/>
        <v>168</v>
      </c>
      <c r="G6" s="9">
        <f t="shared" si="0"/>
        <v>172</v>
      </c>
      <c r="H6" s="9">
        <v>57</v>
      </c>
      <c r="I6" s="9">
        <f t="shared" si="1"/>
        <v>170</v>
      </c>
      <c r="J6" s="9">
        <f t="shared" si="2"/>
        <v>0.28499999999999998</v>
      </c>
      <c r="K6" s="32">
        <f t="shared" si="4"/>
        <v>0.74</v>
      </c>
    </row>
    <row r="7" spans="1:11" x14ac:dyDescent="0.3">
      <c r="C7" s="27">
        <v>159</v>
      </c>
      <c r="D7" s="9"/>
      <c r="E7" s="9">
        <v>5</v>
      </c>
      <c r="F7" s="9">
        <f t="shared" si="3"/>
        <v>172</v>
      </c>
      <c r="G7" s="9">
        <f t="shared" si="0"/>
        <v>176</v>
      </c>
      <c r="H7" s="9">
        <v>27</v>
      </c>
      <c r="I7" s="9">
        <f t="shared" si="1"/>
        <v>174</v>
      </c>
      <c r="J7" s="9">
        <f t="shared" si="2"/>
        <v>0.13500000000000001</v>
      </c>
      <c r="K7" s="32">
        <f t="shared" si="4"/>
        <v>0.875</v>
      </c>
    </row>
    <row r="8" spans="1:11" x14ac:dyDescent="0.3">
      <c r="C8" s="27">
        <v>159</v>
      </c>
      <c r="D8" s="9"/>
      <c r="E8" s="9">
        <v>6</v>
      </c>
      <c r="F8" s="9">
        <f t="shared" si="3"/>
        <v>176</v>
      </c>
      <c r="G8" s="9">
        <f t="shared" si="0"/>
        <v>180</v>
      </c>
      <c r="H8" s="9">
        <v>19</v>
      </c>
      <c r="I8" s="9">
        <f t="shared" si="1"/>
        <v>178</v>
      </c>
      <c r="J8" s="9">
        <f t="shared" si="2"/>
        <v>9.5000000000000001E-2</v>
      </c>
      <c r="K8" s="32">
        <f t="shared" si="4"/>
        <v>0.97</v>
      </c>
    </row>
    <row r="9" spans="1:11" x14ac:dyDescent="0.3">
      <c r="C9" s="27">
        <v>160</v>
      </c>
      <c r="D9" s="9"/>
      <c r="E9" s="9">
        <v>7</v>
      </c>
      <c r="F9" s="9">
        <f t="shared" si="3"/>
        <v>180</v>
      </c>
      <c r="G9" s="9">
        <f t="shared" si="0"/>
        <v>184</v>
      </c>
      <c r="H9" s="9">
        <v>3</v>
      </c>
      <c r="I9" s="9">
        <f t="shared" si="1"/>
        <v>182</v>
      </c>
      <c r="J9" s="9">
        <f t="shared" si="2"/>
        <v>1.4999999999999999E-2</v>
      </c>
      <c r="K9" s="32">
        <f t="shared" si="4"/>
        <v>0.98499999999999999</v>
      </c>
    </row>
    <row r="10" spans="1:11" x14ac:dyDescent="0.3">
      <c r="C10" s="27">
        <v>160</v>
      </c>
      <c r="D10" s="9"/>
      <c r="E10" s="9">
        <v>8</v>
      </c>
      <c r="F10" s="9">
        <f t="shared" si="3"/>
        <v>184</v>
      </c>
      <c r="G10" s="9">
        <f t="shared" si="0"/>
        <v>188</v>
      </c>
      <c r="H10" s="9">
        <v>1</v>
      </c>
      <c r="I10" s="9">
        <f t="shared" si="1"/>
        <v>186</v>
      </c>
      <c r="J10" s="9">
        <f t="shared" si="2"/>
        <v>5.0000000000000001E-3</v>
      </c>
      <c r="K10" s="32">
        <f t="shared" si="4"/>
        <v>0.99</v>
      </c>
    </row>
    <row r="11" spans="1:11" x14ac:dyDescent="0.3">
      <c r="C11" s="27">
        <v>160</v>
      </c>
      <c r="D11" s="9"/>
      <c r="E11" s="9">
        <v>9</v>
      </c>
      <c r="F11" s="9">
        <f t="shared" si="3"/>
        <v>188</v>
      </c>
      <c r="G11" s="9">
        <f t="shared" si="0"/>
        <v>192</v>
      </c>
      <c r="H11" s="9">
        <v>1</v>
      </c>
      <c r="I11" s="9">
        <f t="shared" si="1"/>
        <v>190</v>
      </c>
      <c r="J11" s="9">
        <f t="shared" si="2"/>
        <v>5.0000000000000001E-3</v>
      </c>
      <c r="K11" s="32">
        <f t="shared" si="4"/>
        <v>0.995</v>
      </c>
    </row>
    <row r="12" spans="1:11" x14ac:dyDescent="0.3">
      <c r="C12" s="27">
        <v>160</v>
      </c>
      <c r="D12" s="9"/>
      <c r="E12" s="9">
        <v>10</v>
      </c>
      <c r="F12" s="9">
        <f t="shared" si="3"/>
        <v>192</v>
      </c>
      <c r="G12" s="9">
        <f t="shared" si="0"/>
        <v>196</v>
      </c>
      <c r="H12" s="9">
        <v>1</v>
      </c>
      <c r="I12" s="9">
        <f t="shared" si="1"/>
        <v>194</v>
      </c>
      <c r="J12" s="9">
        <f t="shared" si="2"/>
        <v>5.0000000000000001E-3</v>
      </c>
      <c r="K12" s="32">
        <f t="shared" si="4"/>
        <v>1</v>
      </c>
    </row>
    <row r="13" spans="1:11" x14ac:dyDescent="0.3">
      <c r="C13" s="27">
        <v>161</v>
      </c>
      <c r="E13" s="9"/>
      <c r="H13" s="7">
        <v>0</v>
      </c>
    </row>
    <row r="14" spans="1:11" x14ac:dyDescent="0.3">
      <c r="C14" s="27">
        <v>161</v>
      </c>
    </row>
    <row r="15" spans="1:11" x14ac:dyDescent="0.3">
      <c r="C15" s="27">
        <v>161</v>
      </c>
      <c r="F15" s="7" t="s">
        <v>44</v>
      </c>
      <c r="G15" s="7" t="s">
        <v>45</v>
      </c>
      <c r="I15" s="7" t="s">
        <v>54</v>
      </c>
    </row>
    <row r="16" spans="1:11" x14ac:dyDescent="0.3">
      <c r="C16" s="27">
        <v>161</v>
      </c>
      <c r="F16" s="7">
        <f>MAX(C2:C201)</f>
        <v>196</v>
      </c>
      <c r="G16" s="7">
        <f>MIN(C2:C201)</f>
        <v>156</v>
      </c>
      <c r="I16" s="7">
        <v>200</v>
      </c>
    </row>
    <row r="17" spans="3:7" x14ac:dyDescent="0.3">
      <c r="C17" s="27">
        <v>161</v>
      </c>
      <c r="E17" s="7" t="s">
        <v>43</v>
      </c>
      <c r="G17" s="7">
        <f>F16-G16</f>
        <v>40</v>
      </c>
    </row>
    <row r="18" spans="3:7" x14ac:dyDescent="0.3">
      <c r="C18" s="27">
        <v>161</v>
      </c>
      <c r="E18" s="7" t="s">
        <v>46</v>
      </c>
      <c r="G18" s="7">
        <v>10</v>
      </c>
    </row>
    <row r="19" spans="3:7" x14ac:dyDescent="0.3">
      <c r="C19" s="27">
        <v>161</v>
      </c>
      <c r="E19" s="9" t="s">
        <v>47</v>
      </c>
      <c r="F19" s="9" t="s">
        <v>48</v>
      </c>
      <c r="G19" s="7">
        <f>G17/G18</f>
        <v>4</v>
      </c>
    </row>
    <row r="20" spans="3:7" x14ac:dyDescent="0.3">
      <c r="C20" s="27">
        <v>161</v>
      </c>
    </row>
    <row r="21" spans="3:7" x14ac:dyDescent="0.3">
      <c r="C21" s="27">
        <v>161</v>
      </c>
    </row>
    <row r="22" spans="3:7" x14ac:dyDescent="0.3">
      <c r="C22" s="27">
        <v>162</v>
      </c>
    </row>
    <row r="23" spans="3:7" x14ac:dyDescent="0.3">
      <c r="C23" s="27">
        <v>162</v>
      </c>
    </row>
    <row r="24" spans="3:7" x14ac:dyDescent="0.3">
      <c r="C24" s="27">
        <v>162</v>
      </c>
    </row>
    <row r="25" spans="3:7" x14ac:dyDescent="0.3">
      <c r="C25" s="27">
        <v>162</v>
      </c>
    </row>
    <row r="26" spans="3:7" x14ac:dyDescent="0.3">
      <c r="C26" s="27">
        <v>162</v>
      </c>
    </row>
    <row r="27" spans="3:7" x14ac:dyDescent="0.3">
      <c r="C27" s="27">
        <v>163</v>
      </c>
    </row>
    <row r="28" spans="3:7" x14ac:dyDescent="0.3">
      <c r="C28" s="27">
        <v>163</v>
      </c>
    </row>
    <row r="29" spans="3:7" x14ac:dyDescent="0.3">
      <c r="C29" s="27">
        <v>163</v>
      </c>
    </row>
    <row r="30" spans="3:7" x14ac:dyDescent="0.3">
      <c r="C30" s="27">
        <v>163</v>
      </c>
    </row>
    <row r="31" spans="3:7" x14ac:dyDescent="0.3">
      <c r="C31" s="27">
        <v>163</v>
      </c>
    </row>
    <row r="32" spans="3:7" x14ac:dyDescent="0.3">
      <c r="C32" s="27">
        <v>163</v>
      </c>
    </row>
    <row r="33" spans="3:3" x14ac:dyDescent="0.3">
      <c r="C33" s="27">
        <v>163</v>
      </c>
    </row>
    <row r="34" spans="3:3" x14ac:dyDescent="0.3">
      <c r="C34" s="27">
        <v>163</v>
      </c>
    </row>
    <row r="35" spans="3:3" x14ac:dyDescent="0.3">
      <c r="C35" s="27">
        <v>164</v>
      </c>
    </row>
    <row r="36" spans="3:3" x14ac:dyDescent="0.3">
      <c r="C36" s="27">
        <v>164</v>
      </c>
    </row>
    <row r="37" spans="3:3" x14ac:dyDescent="0.3">
      <c r="C37" s="27">
        <v>164</v>
      </c>
    </row>
    <row r="38" spans="3:3" x14ac:dyDescent="0.3">
      <c r="C38" s="27">
        <v>164</v>
      </c>
    </row>
    <row r="39" spans="3:3" x14ac:dyDescent="0.3">
      <c r="C39" s="27">
        <v>164</v>
      </c>
    </row>
    <row r="40" spans="3:3" x14ac:dyDescent="0.3">
      <c r="C40" s="27">
        <v>164</v>
      </c>
    </row>
    <row r="41" spans="3:3" x14ac:dyDescent="0.3">
      <c r="C41" s="27">
        <v>164</v>
      </c>
    </row>
    <row r="42" spans="3:3" x14ac:dyDescent="0.3">
      <c r="C42" s="27">
        <v>164</v>
      </c>
    </row>
    <row r="43" spans="3:3" x14ac:dyDescent="0.3">
      <c r="C43" s="27">
        <v>164</v>
      </c>
    </row>
    <row r="44" spans="3:3" x14ac:dyDescent="0.3">
      <c r="C44" s="27">
        <v>164</v>
      </c>
    </row>
    <row r="45" spans="3:3" x14ac:dyDescent="0.3">
      <c r="C45" s="27">
        <v>164</v>
      </c>
    </row>
    <row r="46" spans="3:3" x14ac:dyDescent="0.3">
      <c r="C46" s="27">
        <v>165</v>
      </c>
    </row>
    <row r="47" spans="3:3" x14ac:dyDescent="0.3">
      <c r="C47" s="27">
        <v>165</v>
      </c>
    </row>
    <row r="48" spans="3:3" x14ac:dyDescent="0.3">
      <c r="C48" s="27">
        <v>165</v>
      </c>
    </row>
    <row r="49" spans="3:3" x14ac:dyDescent="0.3">
      <c r="C49" s="27">
        <v>165</v>
      </c>
    </row>
    <row r="50" spans="3:3" x14ac:dyDescent="0.3">
      <c r="C50" s="27">
        <v>165</v>
      </c>
    </row>
    <row r="51" spans="3:3" x14ac:dyDescent="0.3">
      <c r="C51" s="27">
        <v>165</v>
      </c>
    </row>
    <row r="52" spans="3:3" x14ac:dyDescent="0.3">
      <c r="C52" s="27">
        <v>165</v>
      </c>
    </row>
    <row r="53" spans="3:3" x14ac:dyDescent="0.3">
      <c r="C53" s="27">
        <v>165</v>
      </c>
    </row>
    <row r="54" spans="3:3" x14ac:dyDescent="0.3">
      <c r="C54" s="27">
        <v>165</v>
      </c>
    </row>
    <row r="55" spans="3:3" x14ac:dyDescent="0.3">
      <c r="C55" s="27">
        <v>165</v>
      </c>
    </row>
    <row r="56" spans="3:3" x14ac:dyDescent="0.3">
      <c r="C56" s="27">
        <v>165</v>
      </c>
    </row>
    <row r="57" spans="3:3" x14ac:dyDescent="0.3">
      <c r="C57" s="27">
        <v>166</v>
      </c>
    </row>
    <row r="58" spans="3:3" x14ac:dyDescent="0.3">
      <c r="C58" s="27">
        <v>166</v>
      </c>
    </row>
    <row r="59" spans="3:3" x14ac:dyDescent="0.3">
      <c r="C59" s="27">
        <v>166</v>
      </c>
    </row>
    <row r="60" spans="3:3" x14ac:dyDescent="0.3">
      <c r="C60" s="27">
        <v>166</v>
      </c>
    </row>
    <row r="61" spans="3:3" x14ac:dyDescent="0.3">
      <c r="C61" s="27">
        <v>166</v>
      </c>
    </row>
    <row r="62" spans="3:3" x14ac:dyDescent="0.3">
      <c r="C62" s="27">
        <v>166</v>
      </c>
    </row>
    <row r="63" spans="3:3" x14ac:dyDescent="0.3">
      <c r="C63" s="27">
        <v>166</v>
      </c>
    </row>
    <row r="64" spans="3:3" x14ac:dyDescent="0.3">
      <c r="C64" s="27">
        <v>166</v>
      </c>
    </row>
    <row r="65" spans="3:3" x14ac:dyDescent="0.3">
      <c r="C65" s="27">
        <v>166</v>
      </c>
    </row>
    <row r="66" spans="3:3" x14ac:dyDescent="0.3">
      <c r="C66" s="27">
        <v>166</v>
      </c>
    </row>
    <row r="67" spans="3:3" x14ac:dyDescent="0.3">
      <c r="C67" s="27">
        <v>166</v>
      </c>
    </row>
    <row r="68" spans="3:3" x14ac:dyDescent="0.3">
      <c r="C68" s="27">
        <v>166</v>
      </c>
    </row>
    <row r="69" spans="3:3" x14ac:dyDescent="0.3">
      <c r="C69" s="27">
        <v>167</v>
      </c>
    </row>
    <row r="70" spans="3:3" x14ac:dyDescent="0.3">
      <c r="C70" s="27">
        <v>167</v>
      </c>
    </row>
    <row r="71" spans="3:3" x14ac:dyDescent="0.3">
      <c r="C71" s="27">
        <v>167</v>
      </c>
    </row>
    <row r="72" spans="3:3" x14ac:dyDescent="0.3">
      <c r="C72" s="27">
        <v>167</v>
      </c>
    </row>
    <row r="73" spans="3:3" x14ac:dyDescent="0.3">
      <c r="C73" s="27">
        <v>167</v>
      </c>
    </row>
    <row r="74" spans="3:3" x14ac:dyDescent="0.3">
      <c r="C74" s="27">
        <v>167</v>
      </c>
    </row>
    <row r="75" spans="3:3" x14ac:dyDescent="0.3">
      <c r="C75" s="27">
        <v>167</v>
      </c>
    </row>
    <row r="76" spans="3:3" x14ac:dyDescent="0.3">
      <c r="C76" s="27">
        <v>167</v>
      </c>
    </row>
    <row r="77" spans="3:3" x14ac:dyDescent="0.3">
      <c r="C77" s="27">
        <v>167</v>
      </c>
    </row>
    <row r="78" spans="3:3" x14ac:dyDescent="0.3">
      <c r="C78" s="27">
        <v>167</v>
      </c>
    </row>
    <row r="79" spans="3:3" x14ac:dyDescent="0.3">
      <c r="C79" s="27">
        <v>167</v>
      </c>
    </row>
    <row r="80" spans="3:3" x14ac:dyDescent="0.3">
      <c r="C80" s="27">
        <v>167</v>
      </c>
    </row>
    <row r="81" spans="3:3" x14ac:dyDescent="0.3">
      <c r="C81" s="27">
        <v>167</v>
      </c>
    </row>
    <row r="82" spans="3:3" x14ac:dyDescent="0.3">
      <c r="C82" s="27">
        <v>167</v>
      </c>
    </row>
    <row r="83" spans="3:3" x14ac:dyDescent="0.3">
      <c r="C83" s="27">
        <v>168</v>
      </c>
    </row>
    <row r="84" spans="3:3" x14ac:dyDescent="0.3">
      <c r="C84" s="27">
        <v>168</v>
      </c>
    </row>
    <row r="85" spans="3:3" x14ac:dyDescent="0.3">
      <c r="C85" s="27">
        <v>168</v>
      </c>
    </row>
    <row r="86" spans="3:3" x14ac:dyDescent="0.3">
      <c r="C86" s="27">
        <v>168</v>
      </c>
    </row>
    <row r="87" spans="3:3" x14ac:dyDescent="0.3">
      <c r="C87" s="27">
        <v>168</v>
      </c>
    </row>
    <row r="88" spans="3:3" x14ac:dyDescent="0.3">
      <c r="C88" s="27">
        <v>168</v>
      </c>
    </row>
    <row r="89" spans="3:3" x14ac:dyDescent="0.3">
      <c r="C89" s="27">
        <v>168</v>
      </c>
    </row>
    <row r="90" spans="3:3" x14ac:dyDescent="0.3">
      <c r="C90" s="27">
        <v>168</v>
      </c>
    </row>
    <row r="91" spans="3:3" x14ac:dyDescent="0.3">
      <c r="C91" s="27">
        <v>168</v>
      </c>
    </row>
    <row r="92" spans="3:3" x14ac:dyDescent="0.3">
      <c r="C92" s="27">
        <v>168</v>
      </c>
    </row>
    <row r="93" spans="3:3" x14ac:dyDescent="0.3">
      <c r="C93" s="27">
        <v>169</v>
      </c>
    </row>
    <row r="94" spans="3:3" x14ac:dyDescent="0.3">
      <c r="C94" s="27">
        <v>169</v>
      </c>
    </row>
    <row r="95" spans="3:3" x14ac:dyDescent="0.3">
      <c r="C95" s="27">
        <v>169</v>
      </c>
    </row>
    <row r="96" spans="3:3" x14ac:dyDescent="0.3">
      <c r="C96" s="27">
        <v>169</v>
      </c>
    </row>
    <row r="97" spans="3:3" x14ac:dyDescent="0.3">
      <c r="C97" s="27">
        <v>169</v>
      </c>
    </row>
    <row r="98" spans="3:3" x14ac:dyDescent="0.3">
      <c r="C98" s="27">
        <v>169</v>
      </c>
    </row>
    <row r="99" spans="3:3" x14ac:dyDescent="0.3">
      <c r="C99" s="27">
        <v>169</v>
      </c>
    </row>
    <row r="100" spans="3:3" x14ac:dyDescent="0.3">
      <c r="C100" s="27">
        <v>169</v>
      </c>
    </row>
    <row r="101" spans="3:3" x14ac:dyDescent="0.3">
      <c r="C101" s="27">
        <v>169</v>
      </c>
    </row>
    <row r="102" spans="3:3" x14ac:dyDescent="0.3">
      <c r="C102" s="27">
        <v>169</v>
      </c>
    </row>
    <row r="103" spans="3:3" x14ac:dyDescent="0.3">
      <c r="C103" s="27">
        <v>169</v>
      </c>
    </row>
    <row r="104" spans="3:3" x14ac:dyDescent="0.3">
      <c r="C104" s="27">
        <v>169</v>
      </c>
    </row>
    <row r="105" spans="3:3" x14ac:dyDescent="0.3">
      <c r="C105" s="27">
        <v>169</v>
      </c>
    </row>
    <row r="106" spans="3:3" x14ac:dyDescent="0.3">
      <c r="C106" s="27">
        <v>169</v>
      </c>
    </row>
    <row r="107" spans="3:3" x14ac:dyDescent="0.3">
      <c r="C107" s="27">
        <v>170</v>
      </c>
    </row>
    <row r="108" spans="3:3" x14ac:dyDescent="0.3">
      <c r="C108" s="27">
        <v>170</v>
      </c>
    </row>
    <row r="109" spans="3:3" x14ac:dyDescent="0.3">
      <c r="C109" s="27">
        <v>170</v>
      </c>
    </row>
    <row r="110" spans="3:3" x14ac:dyDescent="0.3">
      <c r="C110" s="27">
        <v>170</v>
      </c>
    </row>
    <row r="111" spans="3:3" x14ac:dyDescent="0.3">
      <c r="C111" s="27">
        <v>170</v>
      </c>
    </row>
    <row r="112" spans="3:3" x14ac:dyDescent="0.3">
      <c r="C112" s="27">
        <v>170</v>
      </c>
    </row>
    <row r="113" spans="3:3" x14ac:dyDescent="0.3">
      <c r="C113" s="27">
        <v>170</v>
      </c>
    </row>
    <row r="114" spans="3:3" x14ac:dyDescent="0.3">
      <c r="C114" s="27">
        <v>170</v>
      </c>
    </row>
    <row r="115" spans="3:3" x14ac:dyDescent="0.3">
      <c r="C115" s="27">
        <v>170</v>
      </c>
    </row>
    <row r="116" spans="3:3" x14ac:dyDescent="0.3">
      <c r="C116" s="27">
        <v>170</v>
      </c>
    </row>
    <row r="117" spans="3:3" x14ac:dyDescent="0.3">
      <c r="C117" s="27">
        <v>170</v>
      </c>
    </row>
    <row r="118" spans="3:3" x14ac:dyDescent="0.3">
      <c r="C118" s="27">
        <v>171</v>
      </c>
    </row>
    <row r="119" spans="3:3" x14ac:dyDescent="0.3">
      <c r="C119" s="27">
        <v>171</v>
      </c>
    </row>
    <row r="120" spans="3:3" x14ac:dyDescent="0.3">
      <c r="C120" s="27">
        <v>171</v>
      </c>
    </row>
    <row r="121" spans="3:3" x14ac:dyDescent="0.3">
      <c r="C121" s="27">
        <v>171</v>
      </c>
    </row>
    <row r="122" spans="3:3" x14ac:dyDescent="0.3">
      <c r="C122" s="27">
        <v>171</v>
      </c>
    </row>
    <row r="123" spans="3:3" x14ac:dyDescent="0.3">
      <c r="C123" s="27">
        <v>171</v>
      </c>
    </row>
    <row r="124" spans="3:3" x14ac:dyDescent="0.3">
      <c r="C124" s="27">
        <v>171</v>
      </c>
    </row>
    <row r="125" spans="3:3" x14ac:dyDescent="0.3">
      <c r="C125" s="27">
        <v>171</v>
      </c>
    </row>
    <row r="126" spans="3:3" x14ac:dyDescent="0.3">
      <c r="C126" s="27">
        <v>171</v>
      </c>
    </row>
    <row r="127" spans="3:3" x14ac:dyDescent="0.3">
      <c r="C127" s="27">
        <v>171</v>
      </c>
    </row>
    <row r="128" spans="3:3" x14ac:dyDescent="0.3">
      <c r="C128" s="27">
        <v>171</v>
      </c>
    </row>
    <row r="129" spans="3:3" x14ac:dyDescent="0.3">
      <c r="C129" s="27">
        <v>171</v>
      </c>
    </row>
    <row r="130" spans="3:3" x14ac:dyDescent="0.3">
      <c r="C130" s="27">
        <v>171</v>
      </c>
    </row>
    <row r="131" spans="3:3" x14ac:dyDescent="0.3">
      <c r="C131" s="27">
        <v>171</v>
      </c>
    </row>
    <row r="132" spans="3:3" x14ac:dyDescent="0.3">
      <c r="C132" s="27">
        <v>171</v>
      </c>
    </row>
    <row r="133" spans="3:3" x14ac:dyDescent="0.3">
      <c r="C133" s="27">
        <v>171</v>
      </c>
    </row>
    <row r="134" spans="3:3" x14ac:dyDescent="0.3">
      <c r="C134" s="27">
        <v>171</v>
      </c>
    </row>
    <row r="135" spans="3:3" x14ac:dyDescent="0.3">
      <c r="C135" s="27">
        <v>171</v>
      </c>
    </row>
    <row r="136" spans="3:3" x14ac:dyDescent="0.3">
      <c r="C136" s="27">
        <v>171</v>
      </c>
    </row>
    <row r="137" spans="3:3" x14ac:dyDescent="0.3">
      <c r="C137" s="27">
        <v>172</v>
      </c>
    </row>
    <row r="138" spans="3:3" x14ac:dyDescent="0.3">
      <c r="C138" s="27">
        <v>172</v>
      </c>
    </row>
    <row r="139" spans="3:3" x14ac:dyDescent="0.3">
      <c r="C139" s="27">
        <v>172</v>
      </c>
    </row>
    <row r="140" spans="3:3" x14ac:dyDescent="0.3">
      <c r="C140" s="27">
        <v>172</v>
      </c>
    </row>
    <row r="141" spans="3:3" x14ac:dyDescent="0.3">
      <c r="C141" s="27">
        <v>172</v>
      </c>
    </row>
    <row r="142" spans="3:3" x14ac:dyDescent="0.3">
      <c r="C142" s="27">
        <v>172</v>
      </c>
    </row>
    <row r="143" spans="3:3" x14ac:dyDescent="0.3">
      <c r="C143" s="27">
        <v>172</v>
      </c>
    </row>
    <row r="144" spans="3:3" x14ac:dyDescent="0.3">
      <c r="C144" s="27">
        <v>172</v>
      </c>
    </row>
    <row r="145" spans="3:3" x14ac:dyDescent="0.3">
      <c r="C145" s="27">
        <v>172</v>
      </c>
    </row>
    <row r="146" spans="3:3" x14ac:dyDescent="0.3">
      <c r="C146" s="27">
        <v>172</v>
      </c>
    </row>
    <row r="147" spans="3:3" x14ac:dyDescent="0.3">
      <c r="C147" s="27">
        <v>172</v>
      </c>
    </row>
    <row r="148" spans="3:3" x14ac:dyDescent="0.3">
      <c r="C148" s="27">
        <v>172</v>
      </c>
    </row>
    <row r="149" spans="3:3" x14ac:dyDescent="0.3">
      <c r="C149" s="27">
        <v>172</v>
      </c>
    </row>
    <row r="150" spans="3:3" x14ac:dyDescent="0.3">
      <c r="C150" s="27">
        <v>173</v>
      </c>
    </row>
    <row r="151" spans="3:3" x14ac:dyDescent="0.3">
      <c r="C151" s="27">
        <v>173</v>
      </c>
    </row>
    <row r="152" spans="3:3" x14ac:dyDescent="0.3">
      <c r="C152" s="27">
        <v>173</v>
      </c>
    </row>
    <row r="153" spans="3:3" x14ac:dyDescent="0.3">
      <c r="C153" s="27">
        <v>173</v>
      </c>
    </row>
    <row r="154" spans="3:3" x14ac:dyDescent="0.3">
      <c r="C154" s="27">
        <v>173</v>
      </c>
    </row>
    <row r="155" spans="3:3" x14ac:dyDescent="0.3">
      <c r="C155" s="27">
        <v>173</v>
      </c>
    </row>
    <row r="156" spans="3:3" x14ac:dyDescent="0.3">
      <c r="C156" s="27">
        <v>173</v>
      </c>
    </row>
    <row r="157" spans="3:3" x14ac:dyDescent="0.3">
      <c r="C157" s="27">
        <v>173</v>
      </c>
    </row>
    <row r="158" spans="3:3" x14ac:dyDescent="0.3">
      <c r="C158" s="27">
        <v>174</v>
      </c>
    </row>
    <row r="159" spans="3:3" x14ac:dyDescent="0.3">
      <c r="C159" s="27">
        <v>174</v>
      </c>
    </row>
    <row r="160" spans="3:3" x14ac:dyDescent="0.3">
      <c r="C160" s="27">
        <v>174</v>
      </c>
    </row>
    <row r="161" spans="3:3" x14ac:dyDescent="0.3">
      <c r="C161" s="27">
        <v>174</v>
      </c>
    </row>
    <row r="162" spans="3:3" x14ac:dyDescent="0.3">
      <c r="C162" s="27">
        <v>174</v>
      </c>
    </row>
    <row r="163" spans="3:3" x14ac:dyDescent="0.3">
      <c r="C163" s="27">
        <v>175</v>
      </c>
    </row>
    <row r="164" spans="3:3" x14ac:dyDescent="0.3">
      <c r="C164" s="27">
        <v>175</v>
      </c>
    </row>
    <row r="165" spans="3:3" x14ac:dyDescent="0.3">
      <c r="C165" s="27">
        <v>175</v>
      </c>
    </row>
    <row r="166" spans="3:3" x14ac:dyDescent="0.3">
      <c r="C166" s="27">
        <v>175</v>
      </c>
    </row>
    <row r="167" spans="3:3" x14ac:dyDescent="0.3">
      <c r="C167" s="27">
        <v>175</v>
      </c>
    </row>
    <row r="168" spans="3:3" x14ac:dyDescent="0.3">
      <c r="C168" s="27">
        <v>175</v>
      </c>
    </row>
    <row r="169" spans="3:3" x14ac:dyDescent="0.3">
      <c r="C169" s="27">
        <v>176</v>
      </c>
    </row>
    <row r="170" spans="3:3" x14ac:dyDescent="0.3">
      <c r="C170" s="27">
        <v>176</v>
      </c>
    </row>
    <row r="171" spans="3:3" x14ac:dyDescent="0.3">
      <c r="C171" s="27">
        <v>176</v>
      </c>
    </row>
    <row r="172" spans="3:3" x14ac:dyDescent="0.3">
      <c r="C172" s="27">
        <v>176</v>
      </c>
    </row>
    <row r="173" spans="3:3" x14ac:dyDescent="0.3">
      <c r="C173" s="27">
        <v>176</v>
      </c>
    </row>
    <row r="174" spans="3:3" x14ac:dyDescent="0.3">
      <c r="C174" s="27">
        <v>176</v>
      </c>
    </row>
    <row r="175" spans="3:3" x14ac:dyDescent="0.3">
      <c r="C175" s="27">
        <v>176</v>
      </c>
    </row>
    <row r="176" spans="3:3" x14ac:dyDescent="0.3">
      <c r="C176" s="27">
        <v>176</v>
      </c>
    </row>
    <row r="177" spans="3:3" x14ac:dyDescent="0.3">
      <c r="C177" s="27">
        <v>177</v>
      </c>
    </row>
    <row r="178" spans="3:3" x14ac:dyDescent="0.3">
      <c r="C178" s="27">
        <v>177</v>
      </c>
    </row>
    <row r="179" spans="3:3" x14ac:dyDescent="0.3">
      <c r="C179" s="27">
        <v>177</v>
      </c>
    </row>
    <row r="180" spans="3:3" x14ac:dyDescent="0.3">
      <c r="C180" s="27">
        <v>177</v>
      </c>
    </row>
    <row r="181" spans="3:3" x14ac:dyDescent="0.3">
      <c r="C181" s="27">
        <v>177</v>
      </c>
    </row>
    <row r="182" spans="3:3" x14ac:dyDescent="0.3">
      <c r="C182" s="27">
        <v>178</v>
      </c>
    </row>
    <row r="183" spans="3:3" x14ac:dyDescent="0.3">
      <c r="C183" s="27">
        <v>178</v>
      </c>
    </row>
    <row r="184" spans="3:3" x14ac:dyDescent="0.3">
      <c r="C184" s="27">
        <v>178</v>
      </c>
    </row>
    <row r="185" spans="3:3" x14ac:dyDescent="0.3">
      <c r="C185" s="27">
        <v>178</v>
      </c>
    </row>
    <row r="186" spans="3:3" x14ac:dyDescent="0.3">
      <c r="C186" s="27">
        <v>178</v>
      </c>
    </row>
    <row r="187" spans="3:3" x14ac:dyDescent="0.3">
      <c r="C187" s="27">
        <v>178</v>
      </c>
    </row>
    <row r="188" spans="3:3" x14ac:dyDescent="0.3">
      <c r="C188" s="27">
        <v>179</v>
      </c>
    </row>
    <row r="189" spans="3:3" x14ac:dyDescent="0.3">
      <c r="C189" s="27">
        <v>179</v>
      </c>
    </row>
    <row r="190" spans="3:3" x14ac:dyDescent="0.3">
      <c r="C190" s="27">
        <v>179</v>
      </c>
    </row>
    <row r="191" spans="3:3" x14ac:dyDescent="0.3">
      <c r="C191" s="27">
        <v>179</v>
      </c>
    </row>
    <row r="192" spans="3:3" x14ac:dyDescent="0.3">
      <c r="C192" s="27">
        <v>179</v>
      </c>
    </row>
    <row r="193" spans="3:3" x14ac:dyDescent="0.3">
      <c r="C193" s="27">
        <v>180</v>
      </c>
    </row>
    <row r="194" spans="3:3" x14ac:dyDescent="0.3">
      <c r="C194" s="27">
        <v>180</v>
      </c>
    </row>
    <row r="195" spans="3:3" x14ac:dyDescent="0.3">
      <c r="C195" s="27">
        <v>180</v>
      </c>
    </row>
    <row r="196" spans="3:3" x14ac:dyDescent="0.3">
      <c r="C196" s="27">
        <v>182</v>
      </c>
    </row>
    <row r="197" spans="3:3" x14ac:dyDescent="0.3">
      <c r="C197" s="27">
        <v>182</v>
      </c>
    </row>
    <row r="198" spans="3:3" x14ac:dyDescent="0.3">
      <c r="C198" s="27">
        <v>184</v>
      </c>
    </row>
    <row r="199" spans="3:3" x14ac:dyDescent="0.3">
      <c r="C199" s="27">
        <v>186</v>
      </c>
    </row>
    <row r="200" spans="3:3" x14ac:dyDescent="0.3">
      <c r="C200" s="27">
        <v>190</v>
      </c>
    </row>
    <row r="201" spans="3:3" x14ac:dyDescent="0.3">
      <c r="C201" s="27">
        <v>196</v>
      </c>
    </row>
  </sheetData>
  <mergeCells count="1">
    <mergeCell ref="F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AB5D-02F1-4AE0-AEE4-B4D266FF4D93}">
  <dimension ref="A1:AG201"/>
  <sheetViews>
    <sheetView topLeftCell="A2" zoomScale="93" zoomScaleNormal="98" workbookViewId="0">
      <selection activeCell="B7" sqref="B7"/>
    </sheetView>
  </sheetViews>
  <sheetFormatPr defaultRowHeight="15.6" x14ac:dyDescent="0.3"/>
  <cols>
    <col min="1" max="1" width="77.6640625" style="7" customWidth="1"/>
    <col min="2" max="10" width="8.88671875" style="7"/>
    <col min="11" max="11" width="6.21875" style="7" bestFit="1" customWidth="1"/>
    <col min="12" max="12" width="19.44140625" style="7" bestFit="1" customWidth="1"/>
    <col min="13" max="13" width="14.33203125" style="7" bestFit="1" customWidth="1"/>
    <col min="14" max="15" width="8.88671875" style="7"/>
    <col min="16" max="16" width="34.5546875" style="7" bestFit="1" customWidth="1"/>
    <col min="17" max="27" width="8.88671875" style="7"/>
    <col min="28" max="28" width="15" style="7" bestFit="1" customWidth="1"/>
    <col min="29" max="29" width="14.33203125" style="7" bestFit="1" customWidth="1"/>
    <col min="30" max="31" width="8.88671875" style="7"/>
    <col min="32" max="32" width="34.44140625" style="7" bestFit="1" customWidth="1"/>
    <col min="33" max="33" width="8.88671875" style="7"/>
  </cols>
  <sheetData>
    <row r="1" spans="1:33" x14ac:dyDescent="0.3">
      <c r="A1" s="7" t="s">
        <v>11</v>
      </c>
      <c r="C1" s="26" t="s">
        <v>1</v>
      </c>
      <c r="F1" s="23" t="s">
        <v>40</v>
      </c>
      <c r="G1" s="23"/>
      <c r="L1" s="9" t="s">
        <v>72</v>
      </c>
      <c r="M1" s="7" t="s">
        <v>60</v>
      </c>
      <c r="S1" s="26" t="s">
        <v>2</v>
      </c>
      <c r="V1" s="23" t="s">
        <v>40</v>
      </c>
      <c r="W1" s="23"/>
      <c r="AB1" s="7" t="s">
        <v>72</v>
      </c>
      <c r="AC1" s="7" t="s">
        <v>60</v>
      </c>
    </row>
    <row r="2" spans="1:33" x14ac:dyDescent="0.3">
      <c r="A2" s="7" t="s">
        <v>6</v>
      </c>
      <c r="C2" s="27">
        <v>156</v>
      </c>
      <c r="D2" s="9"/>
      <c r="E2" s="9" t="s">
        <v>39</v>
      </c>
      <c r="F2" s="9" t="s">
        <v>41</v>
      </c>
      <c r="G2" s="9" t="s">
        <v>42</v>
      </c>
      <c r="H2" s="9" t="s">
        <v>52</v>
      </c>
      <c r="I2" s="9" t="s">
        <v>53</v>
      </c>
      <c r="J2" s="9" t="s">
        <v>55</v>
      </c>
      <c r="K2" s="9" t="s">
        <v>56</v>
      </c>
      <c r="L2" s="9" t="s">
        <v>59</v>
      </c>
      <c r="M2" s="9" t="s">
        <v>61</v>
      </c>
      <c r="O2" s="9" t="s">
        <v>62</v>
      </c>
      <c r="P2" s="31" t="s">
        <v>58</v>
      </c>
      <c r="Q2" s="8">
        <f>SUM(L3:L12)/I16</f>
        <v>168.86</v>
      </c>
      <c r="S2" s="27">
        <v>48</v>
      </c>
      <c r="U2" s="9" t="s">
        <v>39</v>
      </c>
      <c r="V2" s="7" t="s">
        <v>41</v>
      </c>
      <c r="W2" s="7" t="s">
        <v>42</v>
      </c>
      <c r="X2" s="7" t="s">
        <v>52</v>
      </c>
      <c r="Y2" s="7" t="s">
        <v>53</v>
      </c>
      <c r="Z2" s="7" t="s">
        <v>75</v>
      </c>
      <c r="AA2" s="7" t="s">
        <v>56</v>
      </c>
      <c r="AB2" s="7" t="s">
        <v>59</v>
      </c>
      <c r="AC2" s="9" t="s">
        <v>61</v>
      </c>
      <c r="AE2" s="9" t="s">
        <v>62</v>
      </c>
      <c r="AF2" s="31" t="s">
        <v>58</v>
      </c>
      <c r="AG2" s="8">
        <f>SUM(AB3:AB12)/$Y$19</f>
        <v>64.880000000000024</v>
      </c>
    </row>
    <row r="3" spans="1:33" x14ac:dyDescent="0.3">
      <c r="A3" s="7" t="s">
        <v>7</v>
      </c>
      <c r="C3" s="27">
        <v>157</v>
      </c>
      <c r="D3" s="9"/>
      <c r="E3" s="9">
        <v>1</v>
      </c>
      <c r="F3" s="9">
        <f>C2</f>
        <v>156</v>
      </c>
      <c r="G3" s="9">
        <f>F3+$G$19</f>
        <v>160</v>
      </c>
      <c r="H3" s="9" cm="1">
        <f t="array" ref="H3:H13">FREQUENCY(Рост,G3:G12)</f>
        <v>11</v>
      </c>
      <c r="I3" s="9">
        <f>(F3+G3)/2</f>
        <v>158</v>
      </c>
      <c r="J3" s="9">
        <f>H3/$I$16</f>
        <v>5.5E-2</v>
      </c>
      <c r="K3" s="9">
        <f>J3</f>
        <v>5.5E-2</v>
      </c>
      <c r="L3" s="7">
        <f>H3*I3</f>
        <v>1738</v>
      </c>
      <c r="M3" s="7">
        <f>L3*I3</f>
        <v>274604</v>
      </c>
      <c r="O3" s="9" t="s">
        <v>63</v>
      </c>
      <c r="P3" s="31" t="s">
        <v>64</v>
      </c>
      <c r="Q3" s="8">
        <f>SUM(M3:M12)/200 - Q2*Q2</f>
        <v>37.500399999997171</v>
      </c>
      <c r="S3" s="27">
        <v>50</v>
      </c>
      <c r="U3" s="9">
        <v>1</v>
      </c>
      <c r="V3" s="7">
        <f>S2</f>
        <v>48</v>
      </c>
      <c r="W3" s="7">
        <f>V3+$W$19</f>
        <v>51.2</v>
      </c>
      <c r="X3" s="7" cm="1">
        <f t="array" ref="X3:X13">FREQUENCY(Вес,W3:W12)</f>
        <v>5</v>
      </c>
      <c r="Y3" s="7">
        <f>(V3+W3)/2</f>
        <v>49.6</v>
      </c>
      <c r="Z3" s="7">
        <f>X3/$Y$19</f>
        <v>2.5000000000000001E-2</v>
      </c>
      <c r="AA3" s="7">
        <f>Z3</f>
        <v>2.5000000000000001E-2</v>
      </c>
      <c r="AB3" s="7">
        <f>X3*Y3</f>
        <v>248</v>
      </c>
      <c r="AC3" s="7">
        <f>AB3*Y3</f>
        <v>12300.800000000001</v>
      </c>
      <c r="AE3" s="9" t="s">
        <v>63</v>
      </c>
      <c r="AF3" s="31" t="s">
        <v>64</v>
      </c>
      <c r="AG3" s="8">
        <f>SUM(AC3:AC12)/200 - AG2*AG2</f>
        <v>42.131199999998898</v>
      </c>
    </row>
    <row r="4" spans="1:33" x14ac:dyDescent="0.3">
      <c r="A4" s="7" t="s">
        <v>8</v>
      </c>
      <c r="C4" s="27">
        <v>157</v>
      </c>
      <c r="D4" s="9"/>
      <c r="E4" s="9">
        <v>2</v>
      </c>
      <c r="F4" s="9">
        <f>G3</f>
        <v>160</v>
      </c>
      <c r="G4" s="9">
        <f t="shared" ref="G4:G12" si="0">F4+$G$19</f>
        <v>164</v>
      </c>
      <c r="H4" s="9">
        <v>33</v>
      </c>
      <c r="I4" s="9">
        <f t="shared" ref="I4:I12" si="1">(F4+G4)/2</f>
        <v>162</v>
      </c>
      <c r="J4" s="9">
        <f t="shared" ref="J4:J12" si="2">H4/$I$16</f>
        <v>0.16500000000000001</v>
      </c>
      <c r="K4" s="9">
        <f>K3+J4</f>
        <v>0.22</v>
      </c>
      <c r="L4" s="7">
        <f t="shared" ref="L4:L12" si="3">H4*I4</f>
        <v>5346</v>
      </c>
      <c r="M4" s="7">
        <f t="shared" ref="M4:M12" si="4">L4*I4</f>
        <v>866052</v>
      </c>
      <c r="O4" s="9" t="s">
        <v>65</v>
      </c>
      <c r="P4" s="31" t="s">
        <v>66</v>
      </c>
      <c r="Q4" s="8">
        <f>I16/(I16-1) *Q3</f>
        <v>37.688844221102684</v>
      </c>
      <c r="S4" s="27">
        <v>51</v>
      </c>
      <c r="U4" s="9">
        <v>2</v>
      </c>
      <c r="V4" s="7">
        <f>W3</f>
        <v>51.2</v>
      </c>
      <c r="W4" s="7">
        <f t="shared" ref="W4:W12" si="5">V4+$W$19</f>
        <v>54.400000000000006</v>
      </c>
      <c r="X4" s="7">
        <v>6</v>
      </c>
      <c r="Y4" s="7">
        <f t="shared" ref="Y4:Y12" si="6">(V4+W4)/2</f>
        <v>52.800000000000004</v>
      </c>
      <c r="Z4" s="7">
        <f t="shared" ref="Z4:Z12" si="7">X4/$Y$19</f>
        <v>0.03</v>
      </c>
      <c r="AA4" s="7">
        <f>AA3+Z4</f>
        <v>5.5E-2</v>
      </c>
      <c r="AB4" s="7">
        <f t="shared" ref="AB4:AB12" si="8">X4*Y4</f>
        <v>316.8</v>
      </c>
      <c r="AC4" s="7">
        <f t="shared" ref="AC4:AC12" si="9">AB4*Y4</f>
        <v>16727.04</v>
      </c>
      <c r="AE4" s="9" t="s">
        <v>65</v>
      </c>
      <c r="AF4" s="31" t="s">
        <v>66</v>
      </c>
      <c r="AG4" s="8">
        <f>Y19/(Y19-1) *AG3</f>
        <v>42.342914572863208</v>
      </c>
    </row>
    <row r="5" spans="1:33" x14ac:dyDescent="0.3">
      <c r="C5" s="27">
        <v>157</v>
      </c>
      <c r="D5" s="9"/>
      <c r="E5" s="9">
        <v>3</v>
      </c>
      <c r="F5" s="9">
        <f t="shared" ref="F5:F12" si="10">G4</f>
        <v>164</v>
      </c>
      <c r="G5" s="9">
        <f t="shared" si="0"/>
        <v>168</v>
      </c>
      <c r="H5" s="9">
        <v>47</v>
      </c>
      <c r="I5" s="9">
        <f t="shared" si="1"/>
        <v>166</v>
      </c>
      <c r="J5" s="9">
        <f t="shared" si="2"/>
        <v>0.23499999999999999</v>
      </c>
      <c r="K5" s="9">
        <f t="shared" ref="K5:K12" si="11">K4+J5</f>
        <v>0.45499999999999996</v>
      </c>
      <c r="L5" s="7">
        <f t="shared" si="3"/>
        <v>7802</v>
      </c>
      <c r="M5" s="7">
        <f t="shared" si="4"/>
        <v>1295132</v>
      </c>
      <c r="O5" s="9" t="s">
        <v>67</v>
      </c>
      <c r="P5" s="31" t="s">
        <v>68</v>
      </c>
      <c r="Q5" s="8">
        <f>SQRT(Q3)</f>
        <v>6.1237570167338591</v>
      </c>
      <c r="S5" s="27">
        <v>51</v>
      </c>
      <c r="U5" s="9">
        <v>3</v>
      </c>
      <c r="V5" s="7">
        <f t="shared" ref="V5:V12" si="12">W4</f>
        <v>54.400000000000006</v>
      </c>
      <c r="W5" s="7">
        <f t="shared" si="5"/>
        <v>57.600000000000009</v>
      </c>
      <c r="X5" s="7">
        <v>12</v>
      </c>
      <c r="Y5" s="7">
        <f t="shared" si="6"/>
        <v>56.000000000000007</v>
      </c>
      <c r="Z5" s="7">
        <f t="shared" si="7"/>
        <v>0.06</v>
      </c>
      <c r="AA5" s="7">
        <f t="shared" ref="AA5:AA12" si="13">AA4+Z5</f>
        <v>0.11499999999999999</v>
      </c>
      <c r="AB5" s="7">
        <f t="shared" si="8"/>
        <v>672.00000000000011</v>
      </c>
      <c r="AC5" s="7">
        <f t="shared" si="9"/>
        <v>37632.000000000015</v>
      </c>
      <c r="AE5" s="9" t="s">
        <v>67</v>
      </c>
      <c r="AF5" s="31" t="s">
        <v>68</v>
      </c>
      <c r="AG5" s="8">
        <f>SQRT(AG3)</f>
        <v>6.4908551054540498</v>
      </c>
    </row>
    <row r="6" spans="1:33" x14ac:dyDescent="0.3">
      <c r="C6" s="27">
        <v>158</v>
      </c>
      <c r="D6" s="9"/>
      <c r="E6" s="9">
        <v>4</v>
      </c>
      <c r="F6" s="9">
        <f t="shared" si="10"/>
        <v>168</v>
      </c>
      <c r="G6" s="9">
        <f t="shared" si="0"/>
        <v>172</v>
      </c>
      <c r="H6" s="9">
        <v>57</v>
      </c>
      <c r="I6" s="9">
        <f t="shared" si="1"/>
        <v>170</v>
      </c>
      <c r="J6" s="9">
        <f t="shared" si="2"/>
        <v>0.28499999999999998</v>
      </c>
      <c r="K6" s="9">
        <f t="shared" si="11"/>
        <v>0.74</v>
      </c>
      <c r="L6" s="7">
        <f t="shared" si="3"/>
        <v>9690</v>
      </c>
      <c r="M6" s="7">
        <f t="shared" si="4"/>
        <v>1647300</v>
      </c>
      <c r="O6" s="9" t="s">
        <v>69</v>
      </c>
      <c r="P6" s="31" t="s">
        <v>70</v>
      </c>
      <c r="Q6" s="8">
        <f>SQRT(Q4)</f>
        <v>6.139124059758255</v>
      </c>
      <c r="S6" s="27">
        <v>51</v>
      </c>
      <c r="U6" s="9">
        <v>4</v>
      </c>
      <c r="V6" s="7">
        <f t="shared" si="12"/>
        <v>57.600000000000009</v>
      </c>
      <c r="W6" s="7">
        <f t="shared" si="5"/>
        <v>60.800000000000011</v>
      </c>
      <c r="X6" s="7">
        <v>20</v>
      </c>
      <c r="Y6" s="7">
        <f t="shared" si="6"/>
        <v>59.20000000000001</v>
      </c>
      <c r="Z6" s="7">
        <f t="shared" si="7"/>
        <v>0.1</v>
      </c>
      <c r="AA6" s="7">
        <f t="shared" si="13"/>
        <v>0.215</v>
      </c>
      <c r="AB6" s="7">
        <f t="shared" si="8"/>
        <v>1184.0000000000002</v>
      </c>
      <c r="AC6" s="7">
        <f t="shared" si="9"/>
        <v>70092.800000000032</v>
      </c>
      <c r="AE6" s="9" t="s">
        <v>69</v>
      </c>
      <c r="AF6" s="31" t="s">
        <v>70</v>
      </c>
      <c r="AG6" s="8">
        <f>SQRT(AG4)</f>
        <v>6.5071433496476168</v>
      </c>
    </row>
    <row r="7" spans="1:33" x14ac:dyDescent="0.3">
      <c r="A7" s="7" t="s">
        <v>74</v>
      </c>
      <c r="C7" s="27">
        <v>159</v>
      </c>
      <c r="D7" s="9"/>
      <c r="E7" s="9">
        <v>5</v>
      </c>
      <c r="F7" s="9">
        <f t="shared" si="10"/>
        <v>172</v>
      </c>
      <c r="G7" s="9">
        <f t="shared" si="0"/>
        <v>176</v>
      </c>
      <c r="H7" s="9">
        <v>27</v>
      </c>
      <c r="I7" s="9">
        <f t="shared" si="1"/>
        <v>174</v>
      </c>
      <c r="J7" s="9">
        <f t="shared" si="2"/>
        <v>0.13500000000000001</v>
      </c>
      <c r="K7" s="9">
        <f t="shared" si="11"/>
        <v>0.875</v>
      </c>
      <c r="L7" s="7">
        <f t="shared" si="3"/>
        <v>4698</v>
      </c>
      <c r="M7" s="7">
        <f t="shared" si="4"/>
        <v>817452</v>
      </c>
      <c r="P7" s="31" t="s">
        <v>71</v>
      </c>
      <c r="Q7" s="8">
        <f>I6</f>
        <v>170</v>
      </c>
      <c r="S7" s="27">
        <v>52</v>
      </c>
      <c r="U7" s="9">
        <v>5</v>
      </c>
      <c r="V7" s="7">
        <f t="shared" si="12"/>
        <v>60.800000000000011</v>
      </c>
      <c r="W7" s="7">
        <f t="shared" si="5"/>
        <v>64.000000000000014</v>
      </c>
      <c r="X7" s="7">
        <v>54</v>
      </c>
      <c r="Y7" s="7">
        <f t="shared" si="6"/>
        <v>62.400000000000013</v>
      </c>
      <c r="Z7" s="7">
        <f t="shared" si="7"/>
        <v>0.27</v>
      </c>
      <c r="AA7" s="7">
        <f t="shared" si="13"/>
        <v>0.48499999999999999</v>
      </c>
      <c r="AB7" s="7">
        <f t="shared" si="8"/>
        <v>3369.6000000000008</v>
      </c>
      <c r="AC7" s="7">
        <f t="shared" si="9"/>
        <v>210263.0400000001</v>
      </c>
      <c r="AF7" s="31" t="s">
        <v>71</v>
      </c>
      <c r="AG7" s="8">
        <f>Y7</f>
        <v>62.400000000000013</v>
      </c>
    </row>
    <row r="8" spans="1:33" x14ac:dyDescent="0.3">
      <c r="C8" s="27">
        <v>159</v>
      </c>
      <c r="D8" s="9"/>
      <c r="E8" s="9">
        <v>6</v>
      </c>
      <c r="F8" s="9">
        <f t="shared" si="10"/>
        <v>176</v>
      </c>
      <c r="G8" s="9">
        <f t="shared" si="0"/>
        <v>180</v>
      </c>
      <c r="H8" s="9">
        <v>19</v>
      </c>
      <c r="I8" s="9">
        <f t="shared" si="1"/>
        <v>178</v>
      </c>
      <c r="J8" s="9">
        <f t="shared" si="2"/>
        <v>9.5000000000000001E-2</v>
      </c>
      <c r="K8" s="9">
        <f t="shared" si="11"/>
        <v>0.97</v>
      </c>
      <c r="L8" s="7">
        <f t="shared" si="3"/>
        <v>3382</v>
      </c>
      <c r="M8" s="7">
        <f t="shared" si="4"/>
        <v>601996</v>
      </c>
      <c r="S8" s="27">
        <v>53</v>
      </c>
      <c r="U8" s="9">
        <v>6</v>
      </c>
      <c r="V8" s="7">
        <f t="shared" si="12"/>
        <v>64.000000000000014</v>
      </c>
      <c r="W8" s="7">
        <f t="shared" si="5"/>
        <v>67.200000000000017</v>
      </c>
      <c r="X8" s="7">
        <v>44</v>
      </c>
      <c r="Y8" s="7">
        <f t="shared" si="6"/>
        <v>65.600000000000023</v>
      </c>
      <c r="Z8" s="7">
        <f t="shared" si="7"/>
        <v>0.22</v>
      </c>
      <c r="AA8" s="7">
        <f t="shared" si="13"/>
        <v>0.70499999999999996</v>
      </c>
      <c r="AB8" s="7">
        <f t="shared" si="8"/>
        <v>2886.400000000001</v>
      </c>
      <c r="AC8" s="7">
        <f t="shared" si="9"/>
        <v>189347.84000000014</v>
      </c>
    </row>
    <row r="9" spans="1:33" x14ac:dyDescent="0.3">
      <c r="C9" s="27">
        <v>160</v>
      </c>
      <c r="D9" s="9"/>
      <c r="E9" s="9">
        <v>7</v>
      </c>
      <c r="F9" s="9">
        <f t="shared" si="10"/>
        <v>180</v>
      </c>
      <c r="G9" s="9">
        <f t="shared" si="0"/>
        <v>184</v>
      </c>
      <c r="H9" s="9">
        <v>3</v>
      </c>
      <c r="I9" s="9">
        <f t="shared" si="1"/>
        <v>182</v>
      </c>
      <c r="J9" s="9">
        <f t="shared" si="2"/>
        <v>1.4999999999999999E-2</v>
      </c>
      <c r="K9" s="9">
        <f t="shared" si="11"/>
        <v>0.98499999999999999</v>
      </c>
      <c r="L9" s="7">
        <f t="shared" si="3"/>
        <v>546</v>
      </c>
      <c r="M9" s="7">
        <f t="shared" si="4"/>
        <v>99372</v>
      </c>
      <c r="S9" s="27">
        <v>53</v>
      </c>
      <c r="U9" s="9">
        <v>7</v>
      </c>
      <c r="V9" s="7">
        <f t="shared" si="12"/>
        <v>67.200000000000017</v>
      </c>
      <c r="W9" s="7">
        <f t="shared" si="5"/>
        <v>70.40000000000002</v>
      </c>
      <c r="X9" s="7">
        <v>17</v>
      </c>
      <c r="Y9" s="7">
        <f t="shared" si="6"/>
        <v>68.800000000000011</v>
      </c>
      <c r="Z9" s="7">
        <f t="shared" si="7"/>
        <v>8.5000000000000006E-2</v>
      </c>
      <c r="AA9" s="7">
        <f t="shared" si="13"/>
        <v>0.78999999999999992</v>
      </c>
      <c r="AB9" s="7">
        <f t="shared" si="8"/>
        <v>1169.6000000000001</v>
      </c>
      <c r="AC9" s="7">
        <f t="shared" si="9"/>
        <v>80468.480000000025</v>
      </c>
    </row>
    <row r="10" spans="1:33" x14ac:dyDescent="0.3">
      <c r="C10" s="27">
        <v>160</v>
      </c>
      <c r="D10" s="9"/>
      <c r="E10" s="9">
        <v>8</v>
      </c>
      <c r="F10" s="9">
        <f t="shared" si="10"/>
        <v>184</v>
      </c>
      <c r="G10" s="9">
        <f t="shared" si="0"/>
        <v>188</v>
      </c>
      <c r="H10" s="9">
        <v>1</v>
      </c>
      <c r="I10" s="9">
        <f t="shared" si="1"/>
        <v>186</v>
      </c>
      <c r="J10" s="9">
        <f t="shared" si="2"/>
        <v>5.0000000000000001E-3</v>
      </c>
      <c r="K10" s="9">
        <f t="shared" si="11"/>
        <v>0.99</v>
      </c>
      <c r="L10" s="7">
        <f t="shared" si="3"/>
        <v>186</v>
      </c>
      <c r="M10" s="7">
        <f t="shared" si="4"/>
        <v>34596</v>
      </c>
      <c r="S10" s="27">
        <v>54</v>
      </c>
      <c r="U10" s="9">
        <v>8</v>
      </c>
      <c r="V10" s="7">
        <f t="shared" si="12"/>
        <v>70.40000000000002</v>
      </c>
      <c r="W10" s="7">
        <f t="shared" si="5"/>
        <v>73.600000000000023</v>
      </c>
      <c r="X10" s="7">
        <v>19</v>
      </c>
      <c r="Y10" s="7">
        <f t="shared" si="6"/>
        <v>72.000000000000028</v>
      </c>
      <c r="Z10" s="7">
        <f t="shared" si="7"/>
        <v>9.5000000000000001E-2</v>
      </c>
      <c r="AA10" s="7">
        <f t="shared" si="13"/>
        <v>0.8849999999999999</v>
      </c>
      <c r="AB10" s="7">
        <f t="shared" si="8"/>
        <v>1368.0000000000005</v>
      </c>
      <c r="AC10" s="7">
        <f t="shared" si="9"/>
        <v>98496.000000000073</v>
      </c>
    </row>
    <row r="11" spans="1:33" x14ac:dyDescent="0.3">
      <c r="C11" s="27">
        <v>160</v>
      </c>
      <c r="D11" s="9"/>
      <c r="E11" s="9">
        <v>9</v>
      </c>
      <c r="F11" s="9">
        <f t="shared" si="10"/>
        <v>188</v>
      </c>
      <c r="G11" s="9">
        <f t="shared" si="0"/>
        <v>192</v>
      </c>
      <c r="H11" s="9">
        <v>1</v>
      </c>
      <c r="I11" s="9">
        <f t="shared" si="1"/>
        <v>190</v>
      </c>
      <c r="J11" s="9">
        <f t="shared" si="2"/>
        <v>5.0000000000000001E-3</v>
      </c>
      <c r="K11" s="9">
        <f t="shared" si="11"/>
        <v>0.995</v>
      </c>
      <c r="L11" s="7">
        <f t="shared" si="3"/>
        <v>190</v>
      </c>
      <c r="M11" s="7">
        <f t="shared" si="4"/>
        <v>36100</v>
      </c>
      <c r="S11" s="27">
        <v>54</v>
      </c>
      <c r="U11" s="9">
        <v>9</v>
      </c>
      <c r="V11" s="7">
        <f t="shared" si="12"/>
        <v>73.600000000000023</v>
      </c>
      <c r="W11" s="7">
        <f t="shared" si="5"/>
        <v>76.800000000000026</v>
      </c>
      <c r="X11" s="7">
        <v>13</v>
      </c>
      <c r="Y11" s="7">
        <f t="shared" si="6"/>
        <v>75.200000000000017</v>
      </c>
      <c r="Z11" s="7">
        <f t="shared" si="7"/>
        <v>6.5000000000000002E-2</v>
      </c>
      <c r="AA11" s="7">
        <f t="shared" si="13"/>
        <v>0.95</v>
      </c>
      <c r="AB11" s="7">
        <f t="shared" si="8"/>
        <v>977.60000000000025</v>
      </c>
      <c r="AC11" s="7">
        <f t="shared" si="9"/>
        <v>73515.520000000033</v>
      </c>
    </row>
    <row r="12" spans="1:33" x14ac:dyDescent="0.3">
      <c r="C12" s="27">
        <v>160</v>
      </c>
      <c r="D12" s="9"/>
      <c r="E12" s="9">
        <v>10</v>
      </c>
      <c r="F12" s="9">
        <f t="shared" si="10"/>
        <v>192</v>
      </c>
      <c r="G12" s="9">
        <f t="shared" si="0"/>
        <v>196</v>
      </c>
      <c r="H12" s="9">
        <v>1</v>
      </c>
      <c r="I12" s="9">
        <f t="shared" si="1"/>
        <v>194</v>
      </c>
      <c r="J12" s="9">
        <f t="shared" si="2"/>
        <v>5.0000000000000001E-3</v>
      </c>
      <c r="K12" s="9">
        <f t="shared" si="11"/>
        <v>1</v>
      </c>
      <c r="L12" s="7">
        <f t="shared" si="3"/>
        <v>194</v>
      </c>
      <c r="M12" s="7">
        <f t="shared" si="4"/>
        <v>37636</v>
      </c>
      <c r="S12" s="27">
        <v>54</v>
      </c>
      <c r="U12" s="9">
        <v>10</v>
      </c>
      <c r="V12" s="7">
        <f t="shared" si="12"/>
        <v>76.800000000000026</v>
      </c>
      <c r="W12" s="7">
        <f t="shared" si="5"/>
        <v>80.000000000000028</v>
      </c>
      <c r="X12" s="7">
        <v>10</v>
      </c>
      <c r="Y12" s="7">
        <f t="shared" si="6"/>
        <v>78.400000000000034</v>
      </c>
      <c r="Z12" s="7">
        <f t="shared" si="7"/>
        <v>0.05</v>
      </c>
      <c r="AA12" s="7">
        <f t="shared" si="13"/>
        <v>1</v>
      </c>
      <c r="AB12" s="7">
        <f t="shared" si="8"/>
        <v>784.00000000000034</v>
      </c>
      <c r="AC12" s="7">
        <f t="shared" si="9"/>
        <v>61465.600000000057</v>
      </c>
    </row>
    <row r="13" spans="1:33" x14ac:dyDescent="0.3">
      <c r="C13" s="27">
        <v>161</v>
      </c>
      <c r="E13" s="9"/>
      <c r="H13" s="7">
        <v>0</v>
      </c>
      <c r="S13" s="27">
        <v>55</v>
      </c>
      <c r="X13" s="7">
        <v>0</v>
      </c>
    </row>
    <row r="14" spans="1:33" x14ac:dyDescent="0.3">
      <c r="C14" s="27">
        <v>161</v>
      </c>
      <c r="S14" s="27">
        <v>55</v>
      </c>
    </row>
    <row r="15" spans="1:33" x14ac:dyDescent="0.3">
      <c r="C15" s="27">
        <v>161</v>
      </c>
      <c r="F15" s="7" t="s">
        <v>44</v>
      </c>
      <c r="G15" s="7" t="s">
        <v>45</v>
      </c>
      <c r="I15" s="7" t="s">
        <v>54</v>
      </c>
      <c r="S15" s="27">
        <v>55</v>
      </c>
      <c r="V15" s="7" t="s">
        <v>44</v>
      </c>
      <c r="W15" s="7" t="s">
        <v>45</v>
      </c>
    </row>
    <row r="16" spans="1:33" x14ac:dyDescent="0.3">
      <c r="C16" s="27">
        <v>161</v>
      </c>
      <c r="F16" s="7">
        <f>MAX(C2:C201)</f>
        <v>196</v>
      </c>
      <c r="G16" s="7">
        <f>MIN(C2:C201)</f>
        <v>156</v>
      </c>
      <c r="I16" s="7">
        <v>200</v>
      </c>
      <c r="S16" s="27">
        <v>55</v>
      </c>
      <c r="V16" s="7">
        <f>MAX(S:S)</f>
        <v>80</v>
      </c>
      <c r="W16" s="7">
        <f>MIN(S:S)</f>
        <v>48</v>
      </c>
    </row>
    <row r="17" spans="1:25" x14ac:dyDescent="0.3">
      <c r="C17" s="27">
        <v>161</v>
      </c>
      <c r="E17" s="7" t="s">
        <v>43</v>
      </c>
      <c r="G17" s="7">
        <f>F16-G16</f>
        <v>40</v>
      </c>
      <c r="S17" s="27">
        <v>55</v>
      </c>
      <c r="U17" s="7" t="s">
        <v>43</v>
      </c>
      <c r="W17" s="7">
        <f>V16-W16</f>
        <v>32</v>
      </c>
    </row>
    <row r="18" spans="1:25" x14ac:dyDescent="0.3">
      <c r="C18" s="27">
        <v>161</v>
      </c>
      <c r="E18" s="7" t="s">
        <v>46</v>
      </c>
      <c r="G18" s="7">
        <v>10</v>
      </c>
      <c r="S18" s="27">
        <v>56</v>
      </c>
      <c r="U18" s="7" t="s">
        <v>49</v>
      </c>
      <c r="W18" s="7">
        <v>10</v>
      </c>
      <c r="Y18" s="7" t="s">
        <v>54</v>
      </c>
    </row>
    <row r="19" spans="1:25" x14ac:dyDescent="0.3">
      <c r="A19" s="7" t="s">
        <v>76</v>
      </c>
      <c r="C19" s="27">
        <v>161</v>
      </c>
      <c r="E19" s="9" t="s">
        <v>47</v>
      </c>
      <c r="F19" s="9" t="s">
        <v>48</v>
      </c>
      <c r="G19" s="7">
        <f>G17/G18</f>
        <v>4</v>
      </c>
      <c r="S19" s="27">
        <v>56</v>
      </c>
      <c r="U19" s="7" t="s">
        <v>47</v>
      </c>
      <c r="V19" s="7" t="s">
        <v>48</v>
      </c>
      <c r="W19" s="7">
        <f>W17/W18</f>
        <v>3.2</v>
      </c>
      <c r="Y19" s="7">
        <v>200</v>
      </c>
    </row>
    <row r="20" spans="1:25" x14ac:dyDescent="0.3">
      <c r="C20" s="27">
        <v>161</v>
      </c>
      <c r="S20" s="27">
        <v>56</v>
      </c>
    </row>
    <row r="21" spans="1:25" x14ac:dyDescent="0.3">
      <c r="C21" s="27">
        <v>161</v>
      </c>
      <c r="S21" s="27">
        <v>57</v>
      </c>
    </row>
    <row r="22" spans="1:25" x14ac:dyDescent="0.3">
      <c r="C22" s="27">
        <v>162</v>
      </c>
      <c r="S22" s="27">
        <v>57</v>
      </c>
    </row>
    <row r="23" spans="1:25" x14ac:dyDescent="0.3">
      <c r="C23" s="27">
        <v>162</v>
      </c>
      <c r="S23" s="27">
        <v>57</v>
      </c>
    </row>
    <row r="24" spans="1:25" x14ac:dyDescent="0.3">
      <c r="C24" s="27">
        <v>162</v>
      </c>
      <c r="S24" s="27">
        <v>57</v>
      </c>
    </row>
    <row r="25" spans="1:25" x14ac:dyDescent="0.3">
      <c r="C25" s="27">
        <v>162</v>
      </c>
      <c r="S25" s="27">
        <v>58</v>
      </c>
    </row>
    <row r="26" spans="1:25" x14ac:dyDescent="0.3">
      <c r="C26" s="27">
        <v>162</v>
      </c>
      <c r="S26" s="27">
        <v>58</v>
      </c>
    </row>
    <row r="27" spans="1:25" x14ac:dyDescent="0.3">
      <c r="C27" s="27">
        <v>163</v>
      </c>
      <c r="S27" s="27">
        <v>58</v>
      </c>
    </row>
    <row r="28" spans="1:25" x14ac:dyDescent="0.3">
      <c r="C28" s="27">
        <v>163</v>
      </c>
      <c r="S28" s="27">
        <v>59</v>
      </c>
    </row>
    <row r="29" spans="1:25" x14ac:dyDescent="0.3">
      <c r="C29" s="27">
        <v>163</v>
      </c>
      <c r="S29" s="27">
        <v>59</v>
      </c>
    </row>
    <row r="30" spans="1:25" x14ac:dyDescent="0.3">
      <c r="C30" s="27">
        <v>163</v>
      </c>
      <c r="S30" s="27">
        <v>59</v>
      </c>
    </row>
    <row r="31" spans="1:25" x14ac:dyDescent="0.3">
      <c r="C31" s="27">
        <v>163</v>
      </c>
      <c r="S31" s="27">
        <v>59</v>
      </c>
    </row>
    <row r="32" spans="1:25" x14ac:dyDescent="0.3">
      <c r="C32" s="27">
        <v>163</v>
      </c>
      <c r="S32" s="27">
        <v>60</v>
      </c>
    </row>
    <row r="33" spans="3:19" x14ac:dyDescent="0.3">
      <c r="C33" s="27">
        <v>163</v>
      </c>
      <c r="S33" s="27">
        <v>60</v>
      </c>
    </row>
    <row r="34" spans="3:19" x14ac:dyDescent="0.3">
      <c r="C34" s="27">
        <v>163</v>
      </c>
      <c r="S34" s="27">
        <v>60</v>
      </c>
    </row>
    <row r="35" spans="3:19" x14ac:dyDescent="0.3">
      <c r="C35" s="27">
        <v>164</v>
      </c>
      <c r="S35" s="27">
        <v>60</v>
      </c>
    </row>
    <row r="36" spans="3:19" x14ac:dyDescent="0.3">
      <c r="C36" s="27">
        <v>164</v>
      </c>
      <c r="S36" s="27">
        <v>60</v>
      </c>
    </row>
    <row r="37" spans="3:19" x14ac:dyDescent="0.3">
      <c r="C37" s="27">
        <v>164</v>
      </c>
      <c r="S37" s="27">
        <v>60</v>
      </c>
    </row>
    <row r="38" spans="3:19" x14ac:dyDescent="0.3">
      <c r="C38" s="27">
        <v>164</v>
      </c>
      <c r="S38" s="27">
        <v>60</v>
      </c>
    </row>
    <row r="39" spans="3:19" x14ac:dyDescent="0.3">
      <c r="C39" s="27">
        <v>164</v>
      </c>
      <c r="S39" s="27">
        <v>60</v>
      </c>
    </row>
    <row r="40" spans="3:19" x14ac:dyDescent="0.3">
      <c r="C40" s="27">
        <v>164</v>
      </c>
      <c r="S40" s="27">
        <v>60</v>
      </c>
    </row>
    <row r="41" spans="3:19" x14ac:dyDescent="0.3">
      <c r="C41" s="27">
        <v>164</v>
      </c>
      <c r="S41" s="27">
        <v>60</v>
      </c>
    </row>
    <row r="42" spans="3:19" x14ac:dyDescent="0.3">
      <c r="C42" s="27">
        <v>164</v>
      </c>
      <c r="S42" s="27">
        <v>60</v>
      </c>
    </row>
    <row r="43" spans="3:19" x14ac:dyDescent="0.3">
      <c r="C43" s="27">
        <v>164</v>
      </c>
      <c r="S43" s="27">
        <v>60</v>
      </c>
    </row>
    <row r="44" spans="3:19" x14ac:dyDescent="0.3">
      <c r="C44" s="27">
        <v>164</v>
      </c>
      <c r="S44" s="27">
        <v>60</v>
      </c>
    </row>
    <row r="45" spans="3:19" x14ac:dyDescent="0.3">
      <c r="C45" s="27">
        <v>164</v>
      </c>
      <c r="S45" s="27">
        <v>61</v>
      </c>
    </row>
    <row r="46" spans="3:19" x14ac:dyDescent="0.3">
      <c r="C46" s="27">
        <v>165</v>
      </c>
      <c r="S46" s="27">
        <v>61</v>
      </c>
    </row>
    <row r="47" spans="3:19" x14ac:dyDescent="0.3">
      <c r="C47" s="27">
        <v>165</v>
      </c>
      <c r="S47" s="27">
        <v>61</v>
      </c>
    </row>
    <row r="48" spans="3:19" x14ac:dyDescent="0.3">
      <c r="C48" s="27">
        <v>165</v>
      </c>
      <c r="S48" s="27">
        <v>61</v>
      </c>
    </row>
    <row r="49" spans="3:19" x14ac:dyDescent="0.3">
      <c r="C49" s="27">
        <v>165</v>
      </c>
      <c r="S49" s="27">
        <v>61</v>
      </c>
    </row>
    <row r="50" spans="3:19" x14ac:dyDescent="0.3">
      <c r="C50" s="27">
        <v>165</v>
      </c>
      <c r="S50" s="27">
        <v>61</v>
      </c>
    </row>
    <row r="51" spans="3:19" x14ac:dyDescent="0.3">
      <c r="C51" s="27">
        <v>165</v>
      </c>
      <c r="S51" s="27">
        <v>61</v>
      </c>
    </row>
    <row r="52" spans="3:19" x14ac:dyDescent="0.3">
      <c r="C52" s="27">
        <v>165</v>
      </c>
      <c r="S52" s="27">
        <v>61</v>
      </c>
    </row>
    <row r="53" spans="3:19" x14ac:dyDescent="0.3">
      <c r="C53" s="27">
        <v>165</v>
      </c>
      <c r="S53" s="27">
        <v>61</v>
      </c>
    </row>
    <row r="54" spans="3:19" x14ac:dyDescent="0.3">
      <c r="C54" s="27">
        <v>165</v>
      </c>
      <c r="S54" s="27">
        <v>61</v>
      </c>
    </row>
    <row r="55" spans="3:19" x14ac:dyDescent="0.3">
      <c r="C55" s="27">
        <v>165</v>
      </c>
      <c r="S55" s="27">
        <v>61</v>
      </c>
    </row>
    <row r="56" spans="3:19" x14ac:dyDescent="0.3">
      <c r="C56" s="27">
        <v>165</v>
      </c>
      <c r="S56" s="27">
        <v>61</v>
      </c>
    </row>
    <row r="57" spans="3:19" x14ac:dyDescent="0.3">
      <c r="C57" s="27">
        <v>166</v>
      </c>
      <c r="S57" s="27">
        <v>61</v>
      </c>
    </row>
    <row r="58" spans="3:19" x14ac:dyDescent="0.3">
      <c r="C58" s="27">
        <v>166</v>
      </c>
      <c r="S58" s="27">
        <v>62</v>
      </c>
    </row>
    <row r="59" spans="3:19" x14ac:dyDescent="0.3">
      <c r="C59" s="27">
        <v>166</v>
      </c>
      <c r="S59" s="27">
        <v>62</v>
      </c>
    </row>
    <row r="60" spans="3:19" x14ac:dyDescent="0.3">
      <c r="C60" s="27">
        <v>166</v>
      </c>
      <c r="S60" s="27">
        <v>62</v>
      </c>
    </row>
    <row r="61" spans="3:19" x14ac:dyDescent="0.3">
      <c r="C61" s="27">
        <v>166</v>
      </c>
      <c r="S61" s="27">
        <v>62</v>
      </c>
    </row>
    <row r="62" spans="3:19" x14ac:dyDescent="0.3">
      <c r="C62" s="27">
        <v>166</v>
      </c>
      <c r="S62" s="27">
        <v>62</v>
      </c>
    </row>
    <row r="63" spans="3:19" x14ac:dyDescent="0.3">
      <c r="C63" s="27">
        <v>166</v>
      </c>
      <c r="S63" s="27">
        <v>62</v>
      </c>
    </row>
    <row r="64" spans="3:19" x14ac:dyDescent="0.3">
      <c r="C64" s="27">
        <v>166</v>
      </c>
      <c r="S64" s="27">
        <v>62</v>
      </c>
    </row>
    <row r="65" spans="3:19" x14ac:dyDescent="0.3">
      <c r="C65" s="27">
        <v>166</v>
      </c>
      <c r="S65" s="27">
        <v>62</v>
      </c>
    </row>
    <row r="66" spans="3:19" x14ac:dyDescent="0.3">
      <c r="C66" s="27">
        <v>166</v>
      </c>
      <c r="S66" s="27">
        <v>62</v>
      </c>
    </row>
    <row r="67" spans="3:19" x14ac:dyDescent="0.3">
      <c r="C67" s="27">
        <v>166</v>
      </c>
      <c r="S67" s="27">
        <v>62</v>
      </c>
    </row>
    <row r="68" spans="3:19" x14ac:dyDescent="0.3">
      <c r="C68" s="27">
        <v>166</v>
      </c>
      <c r="S68" s="27">
        <v>62</v>
      </c>
    </row>
    <row r="69" spans="3:19" x14ac:dyDescent="0.3">
      <c r="C69" s="27">
        <v>167</v>
      </c>
      <c r="S69" s="27">
        <v>62</v>
      </c>
    </row>
    <row r="70" spans="3:19" x14ac:dyDescent="0.3">
      <c r="C70" s="27">
        <v>167</v>
      </c>
      <c r="S70" s="27">
        <v>62</v>
      </c>
    </row>
    <row r="71" spans="3:19" x14ac:dyDescent="0.3">
      <c r="C71" s="27">
        <v>167</v>
      </c>
      <c r="S71" s="27">
        <v>63</v>
      </c>
    </row>
    <row r="72" spans="3:19" x14ac:dyDescent="0.3">
      <c r="C72" s="27">
        <v>167</v>
      </c>
      <c r="S72" s="27">
        <v>63</v>
      </c>
    </row>
    <row r="73" spans="3:19" x14ac:dyDescent="0.3">
      <c r="C73" s="27">
        <v>167</v>
      </c>
      <c r="S73" s="27">
        <v>63</v>
      </c>
    </row>
    <row r="74" spans="3:19" x14ac:dyDescent="0.3">
      <c r="C74" s="27">
        <v>167</v>
      </c>
      <c r="S74" s="27">
        <v>63</v>
      </c>
    </row>
    <row r="75" spans="3:19" x14ac:dyDescent="0.3">
      <c r="C75" s="27">
        <v>167</v>
      </c>
      <c r="S75" s="27">
        <v>63</v>
      </c>
    </row>
    <row r="76" spans="3:19" x14ac:dyDescent="0.3">
      <c r="C76" s="27">
        <v>167</v>
      </c>
      <c r="S76" s="27">
        <v>63</v>
      </c>
    </row>
    <row r="77" spans="3:19" x14ac:dyDescent="0.3">
      <c r="C77" s="27">
        <v>167</v>
      </c>
      <c r="S77" s="27">
        <v>63</v>
      </c>
    </row>
    <row r="78" spans="3:19" x14ac:dyDescent="0.3">
      <c r="C78" s="27">
        <v>167</v>
      </c>
      <c r="S78" s="27">
        <v>63</v>
      </c>
    </row>
    <row r="79" spans="3:19" x14ac:dyDescent="0.3">
      <c r="C79" s="27">
        <v>167</v>
      </c>
      <c r="S79" s="27">
        <v>63</v>
      </c>
    </row>
    <row r="80" spans="3:19" x14ac:dyDescent="0.3">
      <c r="C80" s="27">
        <v>167</v>
      </c>
      <c r="S80" s="27">
        <v>63</v>
      </c>
    </row>
    <row r="81" spans="3:19" x14ac:dyDescent="0.3">
      <c r="C81" s="27">
        <v>167</v>
      </c>
      <c r="S81" s="27">
        <v>63</v>
      </c>
    </row>
    <row r="82" spans="3:19" x14ac:dyDescent="0.3">
      <c r="C82" s="27">
        <v>167</v>
      </c>
      <c r="S82" s="27">
        <v>63</v>
      </c>
    </row>
    <row r="83" spans="3:19" x14ac:dyDescent="0.3">
      <c r="C83" s="27">
        <v>168</v>
      </c>
      <c r="S83" s="27">
        <v>63</v>
      </c>
    </row>
    <row r="84" spans="3:19" x14ac:dyDescent="0.3">
      <c r="C84" s="27">
        <v>168</v>
      </c>
      <c r="S84" s="27">
        <v>63</v>
      </c>
    </row>
    <row r="85" spans="3:19" x14ac:dyDescent="0.3">
      <c r="C85" s="27">
        <v>168</v>
      </c>
      <c r="S85" s="27">
        <v>64</v>
      </c>
    </row>
    <row r="86" spans="3:19" x14ac:dyDescent="0.3">
      <c r="C86" s="27">
        <v>168</v>
      </c>
      <c r="S86" s="27">
        <v>64</v>
      </c>
    </row>
    <row r="87" spans="3:19" x14ac:dyDescent="0.3">
      <c r="C87" s="27">
        <v>168</v>
      </c>
      <c r="S87" s="27">
        <v>64</v>
      </c>
    </row>
    <row r="88" spans="3:19" x14ac:dyDescent="0.3">
      <c r="C88" s="27">
        <v>168</v>
      </c>
      <c r="S88" s="27">
        <v>64</v>
      </c>
    </row>
    <row r="89" spans="3:19" x14ac:dyDescent="0.3">
      <c r="C89" s="27">
        <v>168</v>
      </c>
      <c r="S89" s="27">
        <v>64</v>
      </c>
    </row>
    <row r="90" spans="3:19" x14ac:dyDescent="0.3">
      <c r="C90" s="27">
        <v>168</v>
      </c>
      <c r="S90" s="27">
        <v>64</v>
      </c>
    </row>
    <row r="91" spans="3:19" x14ac:dyDescent="0.3">
      <c r="C91" s="27">
        <v>168</v>
      </c>
      <c r="S91" s="27">
        <v>64</v>
      </c>
    </row>
    <row r="92" spans="3:19" x14ac:dyDescent="0.3">
      <c r="C92" s="27">
        <v>168</v>
      </c>
      <c r="S92" s="27">
        <v>64</v>
      </c>
    </row>
    <row r="93" spans="3:19" x14ac:dyDescent="0.3">
      <c r="C93" s="27">
        <v>169</v>
      </c>
      <c r="S93" s="27">
        <v>64</v>
      </c>
    </row>
    <row r="94" spans="3:19" x14ac:dyDescent="0.3">
      <c r="C94" s="27">
        <v>169</v>
      </c>
      <c r="S94" s="27">
        <v>64</v>
      </c>
    </row>
    <row r="95" spans="3:19" x14ac:dyDescent="0.3">
      <c r="C95" s="27">
        <v>169</v>
      </c>
      <c r="S95" s="27">
        <v>64</v>
      </c>
    </row>
    <row r="96" spans="3:19" x14ac:dyDescent="0.3">
      <c r="C96" s="27">
        <v>169</v>
      </c>
      <c r="S96" s="27">
        <v>64</v>
      </c>
    </row>
    <row r="97" spans="3:19" x14ac:dyDescent="0.3">
      <c r="C97" s="27">
        <v>169</v>
      </c>
      <c r="S97" s="27">
        <v>64</v>
      </c>
    </row>
    <row r="98" spans="3:19" x14ac:dyDescent="0.3">
      <c r="C98" s="27">
        <v>169</v>
      </c>
      <c r="S98" s="27">
        <v>64</v>
      </c>
    </row>
    <row r="99" spans="3:19" x14ac:dyDescent="0.3">
      <c r="C99" s="27">
        <v>169</v>
      </c>
      <c r="S99" s="27">
        <v>65</v>
      </c>
    </row>
    <row r="100" spans="3:19" x14ac:dyDescent="0.3">
      <c r="C100" s="27">
        <v>169</v>
      </c>
      <c r="S100" s="27">
        <v>65</v>
      </c>
    </row>
    <row r="101" spans="3:19" x14ac:dyDescent="0.3">
      <c r="C101" s="27">
        <v>169</v>
      </c>
      <c r="S101" s="27">
        <v>65</v>
      </c>
    </row>
    <row r="102" spans="3:19" x14ac:dyDescent="0.3">
      <c r="C102" s="27">
        <v>169</v>
      </c>
      <c r="S102" s="27">
        <v>65</v>
      </c>
    </row>
    <row r="103" spans="3:19" x14ac:dyDescent="0.3">
      <c r="C103" s="27">
        <v>169</v>
      </c>
      <c r="S103" s="27">
        <v>65</v>
      </c>
    </row>
    <row r="104" spans="3:19" x14ac:dyDescent="0.3">
      <c r="C104" s="27">
        <v>169</v>
      </c>
      <c r="S104" s="27">
        <v>65</v>
      </c>
    </row>
    <row r="105" spans="3:19" x14ac:dyDescent="0.3">
      <c r="C105" s="27">
        <v>169</v>
      </c>
      <c r="S105" s="27">
        <v>65</v>
      </c>
    </row>
    <row r="106" spans="3:19" x14ac:dyDescent="0.3">
      <c r="C106" s="27">
        <v>169</v>
      </c>
      <c r="S106" s="27">
        <v>65</v>
      </c>
    </row>
    <row r="107" spans="3:19" x14ac:dyDescent="0.3">
      <c r="C107" s="27">
        <v>170</v>
      </c>
      <c r="S107" s="27">
        <v>65</v>
      </c>
    </row>
    <row r="108" spans="3:19" x14ac:dyDescent="0.3">
      <c r="C108" s="27">
        <v>170</v>
      </c>
      <c r="S108" s="27">
        <v>65</v>
      </c>
    </row>
    <row r="109" spans="3:19" x14ac:dyDescent="0.3">
      <c r="C109" s="27">
        <v>170</v>
      </c>
      <c r="S109" s="27">
        <v>66</v>
      </c>
    </row>
    <row r="110" spans="3:19" x14ac:dyDescent="0.3">
      <c r="C110" s="27">
        <v>170</v>
      </c>
      <c r="S110" s="27">
        <v>66</v>
      </c>
    </row>
    <row r="111" spans="3:19" x14ac:dyDescent="0.3">
      <c r="C111" s="27">
        <v>170</v>
      </c>
      <c r="S111" s="27">
        <v>66</v>
      </c>
    </row>
    <row r="112" spans="3:19" x14ac:dyDescent="0.3">
      <c r="C112" s="27">
        <v>170</v>
      </c>
      <c r="S112" s="27">
        <v>66</v>
      </c>
    </row>
    <row r="113" spans="3:19" x14ac:dyDescent="0.3">
      <c r="C113" s="27">
        <v>170</v>
      </c>
      <c r="S113" s="27">
        <v>66</v>
      </c>
    </row>
    <row r="114" spans="3:19" x14ac:dyDescent="0.3">
      <c r="C114" s="27">
        <v>170</v>
      </c>
      <c r="S114" s="27">
        <v>66</v>
      </c>
    </row>
    <row r="115" spans="3:19" x14ac:dyDescent="0.3">
      <c r="C115" s="27">
        <v>170</v>
      </c>
      <c r="S115" s="27">
        <v>66</v>
      </c>
    </row>
    <row r="116" spans="3:19" x14ac:dyDescent="0.3">
      <c r="C116" s="27">
        <v>170</v>
      </c>
      <c r="S116" s="27">
        <v>66</v>
      </c>
    </row>
    <row r="117" spans="3:19" x14ac:dyDescent="0.3">
      <c r="C117" s="27">
        <v>170</v>
      </c>
      <c r="S117" s="27">
        <v>66</v>
      </c>
    </row>
    <row r="118" spans="3:19" x14ac:dyDescent="0.3">
      <c r="C118" s="27">
        <v>171</v>
      </c>
      <c r="S118" s="27">
        <v>66</v>
      </c>
    </row>
    <row r="119" spans="3:19" x14ac:dyDescent="0.3">
      <c r="C119" s="27">
        <v>171</v>
      </c>
      <c r="S119" s="27">
        <v>66</v>
      </c>
    </row>
    <row r="120" spans="3:19" x14ac:dyDescent="0.3">
      <c r="C120" s="27">
        <v>171</v>
      </c>
      <c r="S120" s="27">
        <v>66</v>
      </c>
    </row>
    <row r="121" spans="3:19" x14ac:dyDescent="0.3">
      <c r="C121" s="27">
        <v>171</v>
      </c>
      <c r="S121" s="27">
        <v>66</v>
      </c>
    </row>
    <row r="122" spans="3:19" x14ac:dyDescent="0.3">
      <c r="C122" s="27">
        <v>171</v>
      </c>
      <c r="S122" s="27">
        <v>66</v>
      </c>
    </row>
    <row r="123" spans="3:19" x14ac:dyDescent="0.3">
      <c r="C123" s="27">
        <v>171</v>
      </c>
      <c r="S123" s="27">
        <v>66</v>
      </c>
    </row>
    <row r="124" spans="3:19" x14ac:dyDescent="0.3">
      <c r="C124" s="27">
        <v>171</v>
      </c>
      <c r="S124" s="27">
        <v>67</v>
      </c>
    </row>
    <row r="125" spans="3:19" x14ac:dyDescent="0.3">
      <c r="C125" s="27">
        <v>171</v>
      </c>
      <c r="S125" s="27">
        <v>67</v>
      </c>
    </row>
    <row r="126" spans="3:19" x14ac:dyDescent="0.3">
      <c r="C126" s="27">
        <v>171</v>
      </c>
      <c r="S126" s="27">
        <v>67</v>
      </c>
    </row>
    <row r="127" spans="3:19" x14ac:dyDescent="0.3">
      <c r="C127" s="27">
        <v>171</v>
      </c>
      <c r="S127" s="27">
        <v>67</v>
      </c>
    </row>
    <row r="128" spans="3:19" x14ac:dyDescent="0.3">
      <c r="C128" s="27">
        <v>171</v>
      </c>
      <c r="S128" s="27">
        <v>67</v>
      </c>
    </row>
    <row r="129" spans="3:19" x14ac:dyDescent="0.3">
      <c r="C129" s="27">
        <v>171</v>
      </c>
      <c r="S129" s="27">
        <v>67</v>
      </c>
    </row>
    <row r="130" spans="3:19" x14ac:dyDescent="0.3">
      <c r="C130" s="27">
        <v>171</v>
      </c>
      <c r="S130" s="27">
        <v>67</v>
      </c>
    </row>
    <row r="131" spans="3:19" x14ac:dyDescent="0.3">
      <c r="C131" s="27">
        <v>171</v>
      </c>
      <c r="S131" s="27">
        <v>67</v>
      </c>
    </row>
    <row r="132" spans="3:19" x14ac:dyDescent="0.3">
      <c r="C132" s="27">
        <v>171</v>
      </c>
      <c r="S132" s="27">
        <v>67</v>
      </c>
    </row>
    <row r="133" spans="3:19" x14ac:dyDescent="0.3">
      <c r="C133" s="27">
        <v>171</v>
      </c>
      <c r="S133" s="27">
        <v>67</v>
      </c>
    </row>
    <row r="134" spans="3:19" x14ac:dyDescent="0.3">
      <c r="C134" s="27">
        <v>171</v>
      </c>
      <c r="S134" s="27">
        <v>67</v>
      </c>
    </row>
    <row r="135" spans="3:19" x14ac:dyDescent="0.3">
      <c r="C135" s="27">
        <v>171</v>
      </c>
      <c r="S135" s="27">
        <v>67</v>
      </c>
    </row>
    <row r="136" spans="3:19" x14ac:dyDescent="0.3">
      <c r="C136" s="27">
        <v>171</v>
      </c>
      <c r="S136" s="27">
        <v>67</v>
      </c>
    </row>
    <row r="137" spans="3:19" x14ac:dyDescent="0.3">
      <c r="C137" s="27">
        <v>172</v>
      </c>
      <c r="S137" s="27">
        <v>67</v>
      </c>
    </row>
    <row r="138" spans="3:19" x14ac:dyDescent="0.3">
      <c r="C138" s="27">
        <v>172</v>
      </c>
      <c r="S138" s="27">
        <v>67</v>
      </c>
    </row>
    <row r="139" spans="3:19" x14ac:dyDescent="0.3">
      <c r="C139" s="27">
        <v>172</v>
      </c>
      <c r="S139" s="27">
        <v>67</v>
      </c>
    </row>
    <row r="140" spans="3:19" x14ac:dyDescent="0.3">
      <c r="C140" s="27">
        <v>172</v>
      </c>
      <c r="S140" s="27">
        <v>67</v>
      </c>
    </row>
    <row r="141" spans="3:19" x14ac:dyDescent="0.3">
      <c r="C141" s="27">
        <v>172</v>
      </c>
      <c r="S141" s="27">
        <v>67</v>
      </c>
    </row>
    <row r="142" spans="3:19" x14ac:dyDescent="0.3">
      <c r="C142" s="27">
        <v>172</v>
      </c>
      <c r="S142" s="27">
        <v>67</v>
      </c>
    </row>
    <row r="143" spans="3:19" x14ac:dyDescent="0.3">
      <c r="C143" s="27">
        <v>172</v>
      </c>
      <c r="S143" s="27">
        <v>68</v>
      </c>
    </row>
    <row r="144" spans="3:19" x14ac:dyDescent="0.3">
      <c r="C144" s="27">
        <v>172</v>
      </c>
      <c r="S144" s="27">
        <v>68</v>
      </c>
    </row>
    <row r="145" spans="3:19" x14ac:dyDescent="0.3">
      <c r="C145" s="27">
        <v>172</v>
      </c>
      <c r="S145" s="27">
        <v>68</v>
      </c>
    </row>
    <row r="146" spans="3:19" x14ac:dyDescent="0.3">
      <c r="C146" s="27">
        <v>172</v>
      </c>
      <c r="S146" s="27">
        <v>68</v>
      </c>
    </row>
    <row r="147" spans="3:19" x14ac:dyDescent="0.3">
      <c r="C147" s="27">
        <v>172</v>
      </c>
      <c r="S147" s="27">
        <v>68</v>
      </c>
    </row>
    <row r="148" spans="3:19" x14ac:dyDescent="0.3">
      <c r="C148" s="27">
        <v>172</v>
      </c>
      <c r="S148" s="27">
        <v>69</v>
      </c>
    </row>
    <row r="149" spans="3:19" x14ac:dyDescent="0.3">
      <c r="C149" s="27">
        <v>172</v>
      </c>
      <c r="S149" s="27">
        <v>69</v>
      </c>
    </row>
    <row r="150" spans="3:19" x14ac:dyDescent="0.3">
      <c r="C150" s="27">
        <v>173</v>
      </c>
      <c r="S150" s="27">
        <v>69</v>
      </c>
    </row>
    <row r="151" spans="3:19" x14ac:dyDescent="0.3">
      <c r="C151" s="27">
        <v>173</v>
      </c>
      <c r="S151" s="27">
        <v>69</v>
      </c>
    </row>
    <row r="152" spans="3:19" x14ac:dyDescent="0.3">
      <c r="C152" s="27">
        <v>173</v>
      </c>
      <c r="S152" s="27">
        <v>69</v>
      </c>
    </row>
    <row r="153" spans="3:19" x14ac:dyDescent="0.3">
      <c r="C153" s="27">
        <v>173</v>
      </c>
      <c r="S153" s="27">
        <v>69</v>
      </c>
    </row>
    <row r="154" spans="3:19" x14ac:dyDescent="0.3">
      <c r="C154" s="27">
        <v>173</v>
      </c>
      <c r="S154" s="27">
        <v>70</v>
      </c>
    </row>
    <row r="155" spans="3:19" x14ac:dyDescent="0.3">
      <c r="C155" s="27">
        <v>173</v>
      </c>
      <c r="S155" s="27">
        <v>70</v>
      </c>
    </row>
    <row r="156" spans="3:19" x14ac:dyDescent="0.3">
      <c r="C156" s="27">
        <v>173</v>
      </c>
      <c r="S156" s="27">
        <v>70</v>
      </c>
    </row>
    <row r="157" spans="3:19" x14ac:dyDescent="0.3">
      <c r="C157" s="27">
        <v>173</v>
      </c>
      <c r="S157" s="27">
        <v>70</v>
      </c>
    </row>
    <row r="158" spans="3:19" x14ac:dyDescent="0.3">
      <c r="C158" s="27">
        <v>174</v>
      </c>
      <c r="S158" s="27">
        <v>70</v>
      </c>
    </row>
    <row r="159" spans="3:19" x14ac:dyDescent="0.3">
      <c r="C159" s="27">
        <v>174</v>
      </c>
      <c r="S159" s="27">
        <v>70</v>
      </c>
    </row>
    <row r="160" spans="3:19" x14ac:dyDescent="0.3">
      <c r="C160" s="27">
        <v>174</v>
      </c>
      <c r="S160" s="27">
        <v>71</v>
      </c>
    </row>
    <row r="161" spans="3:19" x14ac:dyDescent="0.3">
      <c r="C161" s="27">
        <v>174</v>
      </c>
      <c r="S161" s="27">
        <v>71</v>
      </c>
    </row>
    <row r="162" spans="3:19" x14ac:dyDescent="0.3">
      <c r="C162" s="27">
        <v>174</v>
      </c>
      <c r="S162" s="27">
        <v>71</v>
      </c>
    </row>
    <row r="163" spans="3:19" x14ac:dyDescent="0.3">
      <c r="C163" s="27">
        <v>175</v>
      </c>
      <c r="S163" s="27">
        <v>71</v>
      </c>
    </row>
    <row r="164" spans="3:19" x14ac:dyDescent="0.3">
      <c r="C164" s="27">
        <v>175</v>
      </c>
      <c r="S164" s="27">
        <v>71</v>
      </c>
    </row>
    <row r="165" spans="3:19" x14ac:dyDescent="0.3">
      <c r="C165" s="27">
        <v>175</v>
      </c>
      <c r="S165" s="27">
        <v>71</v>
      </c>
    </row>
    <row r="166" spans="3:19" x14ac:dyDescent="0.3">
      <c r="C166" s="27">
        <v>175</v>
      </c>
      <c r="S166" s="27">
        <v>71</v>
      </c>
    </row>
    <row r="167" spans="3:19" x14ac:dyDescent="0.3">
      <c r="C167" s="27">
        <v>175</v>
      </c>
      <c r="S167" s="27">
        <v>71</v>
      </c>
    </row>
    <row r="168" spans="3:19" x14ac:dyDescent="0.3">
      <c r="C168" s="27">
        <v>175</v>
      </c>
      <c r="S168" s="27">
        <v>71</v>
      </c>
    </row>
    <row r="169" spans="3:19" x14ac:dyDescent="0.3">
      <c r="C169" s="27">
        <v>176</v>
      </c>
      <c r="S169" s="27">
        <v>71</v>
      </c>
    </row>
    <row r="170" spans="3:19" x14ac:dyDescent="0.3">
      <c r="C170" s="27">
        <v>176</v>
      </c>
      <c r="S170" s="27">
        <v>72</v>
      </c>
    </row>
    <row r="171" spans="3:19" x14ac:dyDescent="0.3">
      <c r="C171" s="27">
        <v>176</v>
      </c>
      <c r="S171" s="27">
        <v>72</v>
      </c>
    </row>
    <row r="172" spans="3:19" x14ac:dyDescent="0.3">
      <c r="C172" s="27">
        <v>176</v>
      </c>
      <c r="S172" s="27">
        <v>72</v>
      </c>
    </row>
    <row r="173" spans="3:19" x14ac:dyDescent="0.3">
      <c r="C173" s="27">
        <v>176</v>
      </c>
      <c r="S173" s="27">
        <v>72</v>
      </c>
    </row>
    <row r="174" spans="3:19" x14ac:dyDescent="0.3">
      <c r="C174" s="27">
        <v>176</v>
      </c>
      <c r="S174" s="27">
        <v>72</v>
      </c>
    </row>
    <row r="175" spans="3:19" x14ac:dyDescent="0.3">
      <c r="C175" s="27">
        <v>176</v>
      </c>
      <c r="S175" s="27">
        <v>73</v>
      </c>
    </row>
    <row r="176" spans="3:19" x14ac:dyDescent="0.3">
      <c r="C176" s="27">
        <v>176</v>
      </c>
      <c r="S176" s="27">
        <v>73</v>
      </c>
    </row>
    <row r="177" spans="3:19" x14ac:dyDescent="0.3">
      <c r="C177" s="27">
        <v>177</v>
      </c>
      <c r="S177" s="27">
        <v>73</v>
      </c>
    </row>
    <row r="178" spans="3:19" x14ac:dyDescent="0.3">
      <c r="C178" s="27">
        <v>177</v>
      </c>
      <c r="S178" s="27">
        <v>73</v>
      </c>
    </row>
    <row r="179" spans="3:19" x14ac:dyDescent="0.3">
      <c r="C179" s="27">
        <v>177</v>
      </c>
      <c r="S179" s="27">
        <v>74</v>
      </c>
    </row>
    <row r="180" spans="3:19" x14ac:dyDescent="0.3">
      <c r="C180" s="27">
        <v>177</v>
      </c>
      <c r="S180" s="27">
        <v>74</v>
      </c>
    </row>
    <row r="181" spans="3:19" x14ac:dyDescent="0.3">
      <c r="C181" s="27">
        <v>177</v>
      </c>
      <c r="S181" s="27">
        <v>75</v>
      </c>
    </row>
    <row r="182" spans="3:19" x14ac:dyDescent="0.3">
      <c r="C182" s="27">
        <v>178</v>
      </c>
      <c r="S182" s="27">
        <v>75</v>
      </c>
    </row>
    <row r="183" spans="3:19" x14ac:dyDescent="0.3">
      <c r="C183" s="27">
        <v>178</v>
      </c>
      <c r="S183" s="27">
        <v>75</v>
      </c>
    </row>
    <row r="184" spans="3:19" x14ac:dyDescent="0.3">
      <c r="C184" s="27">
        <v>178</v>
      </c>
      <c r="S184" s="27">
        <v>75</v>
      </c>
    </row>
    <row r="185" spans="3:19" x14ac:dyDescent="0.3">
      <c r="C185" s="27">
        <v>178</v>
      </c>
      <c r="S185" s="27">
        <v>75</v>
      </c>
    </row>
    <row r="186" spans="3:19" x14ac:dyDescent="0.3">
      <c r="C186" s="27">
        <v>178</v>
      </c>
      <c r="S186" s="27">
        <v>75</v>
      </c>
    </row>
    <row r="187" spans="3:19" x14ac:dyDescent="0.3">
      <c r="C187" s="27">
        <v>178</v>
      </c>
      <c r="S187" s="27">
        <v>76</v>
      </c>
    </row>
    <row r="188" spans="3:19" x14ac:dyDescent="0.3">
      <c r="C188" s="27">
        <v>179</v>
      </c>
      <c r="S188" s="27">
        <v>76</v>
      </c>
    </row>
    <row r="189" spans="3:19" x14ac:dyDescent="0.3">
      <c r="C189" s="27">
        <v>179</v>
      </c>
      <c r="S189" s="27">
        <v>76</v>
      </c>
    </row>
    <row r="190" spans="3:19" x14ac:dyDescent="0.3">
      <c r="C190" s="27">
        <v>179</v>
      </c>
      <c r="S190" s="27">
        <v>76</v>
      </c>
    </row>
    <row r="191" spans="3:19" x14ac:dyDescent="0.3">
      <c r="C191" s="27">
        <v>179</v>
      </c>
      <c r="S191" s="27">
        <v>76</v>
      </c>
    </row>
    <row r="192" spans="3:19" x14ac:dyDescent="0.3">
      <c r="C192" s="27">
        <v>179</v>
      </c>
      <c r="S192" s="27">
        <v>77</v>
      </c>
    </row>
    <row r="193" spans="3:19" x14ac:dyDescent="0.3">
      <c r="C193" s="27">
        <v>180</v>
      </c>
      <c r="S193" s="27">
        <v>77</v>
      </c>
    </row>
    <row r="194" spans="3:19" x14ac:dyDescent="0.3">
      <c r="C194" s="27">
        <v>180</v>
      </c>
      <c r="S194" s="27">
        <v>77</v>
      </c>
    </row>
    <row r="195" spans="3:19" x14ac:dyDescent="0.3">
      <c r="C195" s="27">
        <v>180</v>
      </c>
      <c r="S195" s="27">
        <v>78</v>
      </c>
    </row>
    <row r="196" spans="3:19" x14ac:dyDescent="0.3">
      <c r="C196" s="27">
        <v>182</v>
      </c>
      <c r="S196" s="27">
        <v>78</v>
      </c>
    </row>
    <row r="197" spans="3:19" x14ac:dyDescent="0.3">
      <c r="C197" s="27">
        <v>182</v>
      </c>
      <c r="S197" s="27">
        <v>78</v>
      </c>
    </row>
    <row r="198" spans="3:19" x14ac:dyDescent="0.3">
      <c r="C198" s="27">
        <v>184</v>
      </c>
      <c r="S198" s="27">
        <v>80</v>
      </c>
    </row>
    <row r="199" spans="3:19" x14ac:dyDescent="0.3">
      <c r="C199" s="27">
        <v>186</v>
      </c>
      <c r="S199" s="27">
        <v>80</v>
      </c>
    </row>
    <row r="200" spans="3:19" x14ac:dyDescent="0.3">
      <c r="C200" s="27">
        <v>190</v>
      </c>
      <c r="S200" s="27">
        <v>80</v>
      </c>
    </row>
    <row r="201" spans="3:19" x14ac:dyDescent="0.3">
      <c r="C201" s="27">
        <v>196</v>
      </c>
      <c r="S201" s="27">
        <v>80</v>
      </c>
    </row>
  </sheetData>
  <mergeCells count="2">
    <mergeCell ref="F1:G1"/>
    <mergeCell ref="V1:W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5938-42DE-49E0-ABB9-90F7112FDBB3}">
  <dimension ref="A1:M201"/>
  <sheetViews>
    <sheetView workbookViewId="0">
      <selection activeCell="A3" sqref="A3"/>
    </sheetView>
  </sheetViews>
  <sheetFormatPr defaultRowHeight="15.6" x14ac:dyDescent="0.3"/>
  <cols>
    <col min="1" max="1" width="67.77734375" style="7" customWidth="1"/>
    <col min="2" max="5" width="8.88671875" style="7"/>
    <col min="6" max="6" width="33.88671875" style="7" bestFit="1" customWidth="1"/>
    <col min="7" max="11" width="8.88671875" style="7"/>
    <col min="12" max="12" width="33.88671875" style="7" bestFit="1" customWidth="1"/>
    <col min="13" max="16384" width="8.88671875" style="7"/>
  </cols>
  <sheetData>
    <row r="1" spans="1:13" x14ac:dyDescent="0.3">
      <c r="A1" s="7" t="s">
        <v>78</v>
      </c>
      <c r="C1" s="26" t="s">
        <v>1</v>
      </c>
      <c r="I1" s="26" t="s">
        <v>2</v>
      </c>
    </row>
    <row r="2" spans="1:13" x14ac:dyDescent="0.3">
      <c r="A2" s="7" t="s">
        <v>77</v>
      </c>
      <c r="C2" s="27">
        <v>156</v>
      </c>
      <c r="E2" s="9" t="s">
        <v>62</v>
      </c>
      <c r="F2" s="31" t="s">
        <v>58</v>
      </c>
      <c r="G2" s="8">
        <f>AVERAGE(Рост)</f>
        <v>169.38</v>
      </c>
      <c r="I2" s="27">
        <v>48</v>
      </c>
      <c r="K2" s="9" t="s">
        <v>62</v>
      </c>
      <c r="L2" s="31" t="s">
        <v>58</v>
      </c>
      <c r="M2" s="8">
        <f>AVERAGE(Вес)</f>
        <v>65.105000000000004</v>
      </c>
    </row>
    <row r="3" spans="1:13" x14ac:dyDescent="0.3">
      <c r="C3" s="27">
        <v>157</v>
      </c>
      <c r="E3" s="9" t="s">
        <v>63</v>
      </c>
      <c r="F3" s="31" t="s">
        <v>64</v>
      </c>
      <c r="G3" s="8">
        <f>_xlfn.VAR.P(Рост)</f>
        <v>38.535600000000002</v>
      </c>
      <c r="I3" s="27">
        <v>50</v>
      </c>
      <c r="K3" s="9" t="s">
        <v>63</v>
      </c>
      <c r="L3" s="31" t="s">
        <v>64</v>
      </c>
      <c r="M3" s="8">
        <f>_xlfn.VAR.P(Вес)</f>
        <v>41.893974999999919</v>
      </c>
    </row>
    <row r="4" spans="1:13" x14ac:dyDescent="0.3">
      <c r="A4" s="7" t="s">
        <v>73</v>
      </c>
      <c r="C4" s="27">
        <v>157</v>
      </c>
      <c r="E4" s="9" t="s">
        <v>65</v>
      </c>
      <c r="F4" s="31" t="s">
        <v>66</v>
      </c>
      <c r="G4" s="8">
        <f>_xlfn.VAR.S(Рост)</f>
        <v>38.729246231155777</v>
      </c>
      <c r="I4" s="27">
        <v>51</v>
      </c>
      <c r="K4" s="9" t="s">
        <v>65</v>
      </c>
      <c r="L4" s="31" t="s">
        <v>66</v>
      </c>
      <c r="M4" s="8">
        <f>_xlfn.VAR.S(Вес)</f>
        <v>42.104497487437101</v>
      </c>
    </row>
    <row r="5" spans="1:13" x14ac:dyDescent="0.3">
      <c r="C5" s="27">
        <v>157</v>
      </c>
      <c r="E5" s="9" t="s">
        <v>67</v>
      </c>
      <c r="F5" s="31" t="s">
        <v>68</v>
      </c>
      <c r="G5" s="8">
        <f>_xlfn.STDEV.P(Рост)</f>
        <v>6.2077048898928826</v>
      </c>
      <c r="I5" s="27">
        <v>51</v>
      </c>
      <c r="K5" s="9" t="s">
        <v>67</v>
      </c>
      <c r="L5" s="31" t="s">
        <v>68</v>
      </c>
      <c r="M5" s="8">
        <f>_xlfn.STDEV.P(Вес)</f>
        <v>6.4725555231299419</v>
      </c>
    </row>
    <row r="6" spans="1:13" x14ac:dyDescent="0.3">
      <c r="C6" s="27">
        <v>158</v>
      </c>
      <c r="E6" s="9" t="s">
        <v>69</v>
      </c>
      <c r="F6" s="31" t="s">
        <v>70</v>
      </c>
      <c r="G6" s="8">
        <f>_xlfn.STDEV.S(Рост)</f>
        <v>6.2232825929051119</v>
      </c>
      <c r="I6" s="27">
        <v>51</v>
      </c>
      <c r="K6" s="9" t="s">
        <v>69</v>
      </c>
      <c r="L6" s="31" t="s">
        <v>70</v>
      </c>
      <c r="M6" s="8">
        <f>_xlfn.STDEV.S(Вес)</f>
        <v>6.4887978460911464</v>
      </c>
    </row>
    <row r="7" spans="1:13" x14ac:dyDescent="0.3">
      <c r="C7" s="27">
        <v>159</v>
      </c>
      <c r="F7" s="31" t="s">
        <v>79</v>
      </c>
      <c r="G7" s="8">
        <f>MEDIAN(Рост)</f>
        <v>169</v>
      </c>
      <c r="I7" s="27">
        <v>52</v>
      </c>
      <c r="L7" s="31" t="s">
        <v>79</v>
      </c>
      <c r="M7" s="8">
        <f>MEDIAN(Вес)</f>
        <v>65</v>
      </c>
    </row>
    <row r="8" spans="1:13" x14ac:dyDescent="0.3">
      <c r="C8" s="27">
        <v>159</v>
      </c>
      <c r="I8" s="27">
        <v>53</v>
      </c>
    </row>
    <row r="9" spans="1:13" x14ac:dyDescent="0.3">
      <c r="C9" s="27">
        <v>160</v>
      </c>
      <c r="I9" s="27">
        <v>53</v>
      </c>
    </row>
    <row r="10" spans="1:13" x14ac:dyDescent="0.3">
      <c r="C10" s="27">
        <v>160</v>
      </c>
      <c r="I10" s="27">
        <v>54</v>
      </c>
    </row>
    <row r="11" spans="1:13" x14ac:dyDescent="0.3">
      <c r="C11" s="27">
        <v>160</v>
      </c>
      <c r="I11" s="27">
        <v>54</v>
      </c>
    </row>
    <row r="12" spans="1:13" x14ac:dyDescent="0.3">
      <c r="C12" s="27">
        <v>160</v>
      </c>
      <c r="I12" s="27">
        <v>54</v>
      </c>
    </row>
    <row r="13" spans="1:13" x14ac:dyDescent="0.3">
      <c r="C13" s="27">
        <v>161</v>
      </c>
      <c r="I13" s="27">
        <v>55</v>
      </c>
    </row>
    <row r="14" spans="1:13" x14ac:dyDescent="0.3">
      <c r="A14" s="7" t="s">
        <v>76</v>
      </c>
      <c r="C14" s="27">
        <v>161</v>
      </c>
      <c r="I14" s="27">
        <v>55</v>
      </c>
    </row>
    <row r="15" spans="1:13" x14ac:dyDescent="0.3">
      <c r="C15" s="27">
        <v>161</v>
      </c>
      <c r="I15" s="27">
        <v>55</v>
      </c>
    </row>
    <row r="16" spans="1:13" x14ac:dyDescent="0.3">
      <c r="C16" s="27">
        <v>161</v>
      </c>
      <c r="I16" s="27">
        <v>55</v>
      </c>
    </row>
    <row r="17" spans="3:9" x14ac:dyDescent="0.3">
      <c r="C17" s="27">
        <v>161</v>
      </c>
      <c r="I17" s="27">
        <v>55</v>
      </c>
    </row>
    <row r="18" spans="3:9" x14ac:dyDescent="0.3">
      <c r="C18" s="27">
        <v>161</v>
      </c>
      <c r="I18" s="27">
        <v>56</v>
      </c>
    </row>
    <row r="19" spans="3:9" x14ac:dyDescent="0.3">
      <c r="C19" s="27">
        <v>161</v>
      </c>
      <c r="I19" s="27">
        <v>56</v>
      </c>
    </row>
    <row r="20" spans="3:9" x14ac:dyDescent="0.3">
      <c r="C20" s="27">
        <v>161</v>
      </c>
      <c r="I20" s="27">
        <v>56</v>
      </c>
    </row>
    <row r="21" spans="3:9" x14ac:dyDescent="0.3">
      <c r="C21" s="27">
        <v>161</v>
      </c>
      <c r="I21" s="27">
        <v>57</v>
      </c>
    </row>
    <row r="22" spans="3:9" x14ac:dyDescent="0.3">
      <c r="C22" s="27">
        <v>162</v>
      </c>
      <c r="I22" s="27">
        <v>57</v>
      </c>
    </row>
    <row r="23" spans="3:9" x14ac:dyDescent="0.3">
      <c r="C23" s="27">
        <v>162</v>
      </c>
      <c r="I23" s="27">
        <v>57</v>
      </c>
    </row>
    <row r="24" spans="3:9" x14ac:dyDescent="0.3">
      <c r="C24" s="27">
        <v>162</v>
      </c>
      <c r="I24" s="27">
        <v>57</v>
      </c>
    </row>
    <row r="25" spans="3:9" x14ac:dyDescent="0.3">
      <c r="C25" s="27">
        <v>162</v>
      </c>
      <c r="I25" s="27">
        <v>58</v>
      </c>
    </row>
    <row r="26" spans="3:9" x14ac:dyDescent="0.3">
      <c r="C26" s="27">
        <v>162</v>
      </c>
      <c r="I26" s="27">
        <v>58</v>
      </c>
    </row>
    <row r="27" spans="3:9" x14ac:dyDescent="0.3">
      <c r="C27" s="27">
        <v>163</v>
      </c>
      <c r="I27" s="27">
        <v>58</v>
      </c>
    </row>
    <row r="28" spans="3:9" x14ac:dyDescent="0.3">
      <c r="C28" s="27">
        <v>163</v>
      </c>
      <c r="I28" s="27">
        <v>59</v>
      </c>
    </row>
    <row r="29" spans="3:9" x14ac:dyDescent="0.3">
      <c r="C29" s="27">
        <v>163</v>
      </c>
      <c r="I29" s="27">
        <v>59</v>
      </c>
    </row>
    <row r="30" spans="3:9" x14ac:dyDescent="0.3">
      <c r="C30" s="27">
        <v>163</v>
      </c>
      <c r="I30" s="27">
        <v>59</v>
      </c>
    </row>
    <row r="31" spans="3:9" x14ac:dyDescent="0.3">
      <c r="C31" s="27">
        <v>163</v>
      </c>
      <c r="I31" s="27">
        <v>59</v>
      </c>
    </row>
    <row r="32" spans="3:9" x14ac:dyDescent="0.3">
      <c r="C32" s="27">
        <v>163</v>
      </c>
      <c r="I32" s="27">
        <v>60</v>
      </c>
    </row>
    <row r="33" spans="3:9" x14ac:dyDescent="0.3">
      <c r="C33" s="27">
        <v>163</v>
      </c>
      <c r="I33" s="27">
        <v>60</v>
      </c>
    </row>
    <row r="34" spans="3:9" x14ac:dyDescent="0.3">
      <c r="C34" s="27">
        <v>163</v>
      </c>
      <c r="I34" s="27">
        <v>60</v>
      </c>
    </row>
    <row r="35" spans="3:9" x14ac:dyDescent="0.3">
      <c r="C35" s="27">
        <v>164</v>
      </c>
      <c r="I35" s="27">
        <v>60</v>
      </c>
    </row>
    <row r="36" spans="3:9" x14ac:dyDescent="0.3">
      <c r="C36" s="27">
        <v>164</v>
      </c>
      <c r="I36" s="27">
        <v>60</v>
      </c>
    </row>
    <row r="37" spans="3:9" x14ac:dyDescent="0.3">
      <c r="C37" s="27">
        <v>164</v>
      </c>
      <c r="I37" s="27">
        <v>60</v>
      </c>
    </row>
    <row r="38" spans="3:9" x14ac:dyDescent="0.3">
      <c r="C38" s="27">
        <v>164</v>
      </c>
      <c r="I38" s="27">
        <v>60</v>
      </c>
    </row>
    <row r="39" spans="3:9" x14ac:dyDescent="0.3">
      <c r="C39" s="27">
        <v>164</v>
      </c>
      <c r="I39" s="27">
        <v>60</v>
      </c>
    </row>
    <row r="40" spans="3:9" x14ac:dyDescent="0.3">
      <c r="C40" s="27">
        <v>164</v>
      </c>
      <c r="I40" s="27">
        <v>60</v>
      </c>
    </row>
    <row r="41" spans="3:9" x14ac:dyDescent="0.3">
      <c r="C41" s="27">
        <v>164</v>
      </c>
      <c r="I41" s="27">
        <v>60</v>
      </c>
    </row>
    <row r="42" spans="3:9" x14ac:dyDescent="0.3">
      <c r="C42" s="27">
        <v>164</v>
      </c>
      <c r="I42" s="27">
        <v>60</v>
      </c>
    </row>
    <row r="43" spans="3:9" x14ac:dyDescent="0.3">
      <c r="C43" s="27">
        <v>164</v>
      </c>
      <c r="I43" s="27">
        <v>60</v>
      </c>
    </row>
    <row r="44" spans="3:9" x14ac:dyDescent="0.3">
      <c r="C44" s="27">
        <v>164</v>
      </c>
      <c r="I44" s="27">
        <v>60</v>
      </c>
    </row>
    <row r="45" spans="3:9" x14ac:dyDescent="0.3">
      <c r="C45" s="27">
        <v>164</v>
      </c>
      <c r="I45" s="27">
        <v>61</v>
      </c>
    </row>
    <row r="46" spans="3:9" x14ac:dyDescent="0.3">
      <c r="C46" s="27">
        <v>165</v>
      </c>
      <c r="I46" s="27">
        <v>61</v>
      </c>
    </row>
    <row r="47" spans="3:9" x14ac:dyDescent="0.3">
      <c r="C47" s="27">
        <v>165</v>
      </c>
      <c r="I47" s="27">
        <v>61</v>
      </c>
    </row>
    <row r="48" spans="3:9" x14ac:dyDescent="0.3">
      <c r="C48" s="27">
        <v>165</v>
      </c>
      <c r="I48" s="27">
        <v>61</v>
      </c>
    </row>
    <row r="49" spans="3:9" x14ac:dyDescent="0.3">
      <c r="C49" s="27">
        <v>165</v>
      </c>
      <c r="I49" s="27">
        <v>61</v>
      </c>
    </row>
    <row r="50" spans="3:9" x14ac:dyDescent="0.3">
      <c r="C50" s="27">
        <v>165</v>
      </c>
      <c r="I50" s="27">
        <v>61</v>
      </c>
    </row>
    <row r="51" spans="3:9" x14ac:dyDescent="0.3">
      <c r="C51" s="27">
        <v>165</v>
      </c>
      <c r="I51" s="27">
        <v>61</v>
      </c>
    </row>
    <row r="52" spans="3:9" x14ac:dyDescent="0.3">
      <c r="C52" s="27">
        <v>165</v>
      </c>
      <c r="I52" s="27">
        <v>61</v>
      </c>
    </row>
    <row r="53" spans="3:9" x14ac:dyDescent="0.3">
      <c r="C53" s="27">
        <v>165</v>
      </c>
      <c r="I53" s="27">
        <v>61</v>
      </c>
    </row>
    <row r="54" spans="3:9" x14ac:dyDescent="0.3">
      <c r="C54" s="27">
        <v>165</v>
      </c>
      <c r="I54" s="27">
        <v>61</v>
      </c>
    </row>
    <row r="55" spans="3:9" x14ac:dyDescent="0.3">
      <c r="C55" s="27">
        <v>165</v>
      </c>
      <c r="I55" s="27">
        <v>61</v>
      </c>
    </row>
    <row r="56" spans="3:9" x14ac:dyDescent="0.3">
      <c r="C56" s="27">
        <v>165</v>
      </c>
      <c r="I56" s="27">
        <v>61</v>
      </c>
    </row>
    <row r="57" spans="3:9" x14ac:dyDescent="0.3">
      <c r="C57" s="27">
        <v>166</v>
      </c>
      <c r="I57" s="27">
        <v>61</v>
      </c>
    </row>
    <row r="58" spans="3:9" x14ac:dyDescent="0.3">
      <c r="C58" s="27">
        <v>166</v>
      </c>
      <c r="I58" s="27">
        <v>62</v>
      </c>
    </row>
    <row r="59" spans="3:9" x14ac:dyDescent="0.3">
      <c r="C59" s="27">
        <v>166</v>
      </c>
      <c r="I59" s="27">
        <v>62</v>
      </c>
    </row>
    <row r="60" spans="3:9" x14ac:dyDescent="0.3">
      <c r="C60" s="27">
        <v>166</v>
      </c>
      <c r="I60" s="27">
        <v>62</v>
      </c>
    </row>
    <row r="61" spans="3:9" x14ac:dyDescent="0.3">
      <c r="C61" s="27">
        <v>166</v>
      </c>
      <c r="I61" s="27">
        <v>62</v>
      </c>
    </row>
    <row r="62" spans="3:9" x14ac:dyDescent="0.3">
      <c r="C62" s="27">
        <v>166</v>
      </c>
      <c r="I62" s="27">
        <v>62</v>
      </c>
    </row>
    <row r="63" spans="3:9" x14ac:dyDescent="0.3">
      <c r="C63" s="27">
        <v>166</v>
      </c>
      <c r="I63" s="27">
        <v>62</v>
      </c>
    </row>
    <row r="64" spans="3:9" x14ac:dyDescent="0.3">
      <c r="C64" s="27">
        <v>166</v>
      </c>
      <c r="I64" s="27">
        <v>62</v>
      </c>
    </row>
    <row r="65" spans="3:9" x14ac:dyDescent="0.3">
      <c r="C65" s="27">
        <v>166</v>
      </c>
      <c r="I65" s="27">
        <v>62</v>
      </c>
    </row>
    <row r="66" spans="3:9" x14ac:dyDescent="0.3">
      <c r="C66" s="27">
        <v>166</v>
      </c>
      <c r="I66" s="27">
        <v>62</v>
      </c>
    </row>
    <row r="67" spans="3:9" x14ac:dyDescent="0.3">
      <c r="C67" s="27">
        <v>166</v>
      </c>
      <c r="I67" s="27">
        <v>62</v>
      </c>
    </row>
    <row r="68" spans="3:9" x14ac:dyDescent="0.3">
      <c r="C68" s="27">
        <v>166</v>
      </c>
      <c r="I68" s="27">
        <v>62</v>
      </c>
    </row>
    <row r="69" spans="3:9" x14ac:dyDescent="0.3">
      <c r="C69" s="27">
        <v>167</v>
      </c>
      <c r="I69" s="27">
        <v>62</v>
      </c>
    </row>
    <row r="70" spans="3:9" x14ac:dyDescent="0.3">
      <c r="C70" s="27">
        <v>167</v>
      </c>
      <c r="I70" s="27">
        <v>62</v>
      </c>
    </row>
    <row r="71" spans="3:9" x14ac:dyDescent="0.3">
      <c r="C71" s="27">
        <v>167</v>
      </c>
      <c r="I71" s="27">
        <v>63</v>
      </c>
    </row>
    <row r="72" spans="3:9" x14ac:dyDescent="0.3">
      <c r="C72" s="27">
        <v>167</v>
      </c>
      <c r="I72" s="27">
        <v>63</v>
      </c>
    </row>
    <row r="73" spans="3:9" x14ac:dyDescent="0.3">
      <c r="C73" s="27">
        <v>167</v>
      </c>
      <c r="I73" s="27">
        <v>63</v>
      </c>
    </row>
    <row r="74" spans="3:9" x14ac:dyDescent="0.3">
      <c r="C74" s="27">
        <v>167</v>
      </c>
      <c r="I74" s="27">
        <v>63</v>
      </c>
    </row>
    <row r="75" spans="3:9" x14ac:dyDescent="0.3">
      <c r="C75" s="27">
        <v>167</v>
      </c>
      <c r="I75" s="27">
        <v>63</v>
      </c>
    </row>
    <row r="76" spans="3:9" x14ac:dyDescent="0.3">
      <c r="C76" s="27">
        <v>167</v>
      </c>
      <c r="I76" s="27">
        <v>63</v>
      </c>
    </row>
    <row r="77" spans="3:9" x14ac:dyDescent="0.3">
      <c r="C77" s="27">
        <v>167</v>
      </c>
      <c r="I77" s="27">
        <v>63</v>
      </c>
    </row>
    <row r="78" spans="3:9" x14ac:dyDescent="0.3">
      <c r="C78" s="27">
        <v>167</v>
      </c>
      <c r="I78" s="27">
        <v>63</v>
      </c>
    </row>
    <row r="79" spans="3:9" x14ac:dyDescent="0.3">
      <c r="C79" s="27">
        <v>167</v>
      </c>
      <c r="I79" s="27">
        <v>63</v>
      </c>
    </row>
    <row r="80" spans="3:9" x14ac:dyDescent="0.3">
      <c r="C80" s="27">
        <v>167</v>
      </c>
      <c r="I80" s="27">
        <v>63</v>
      </c>
    </row>
    <row r="81" spans="3:9" x14ac:dyDescent="0.3">
      <c r="C81" s="27">
        <v>167</v>
      </c>
      <c r="I81" s="27">
        <v>63</v>
      </c>
    </row>
    <row r="82" spans="3:9" x14ac:dyDescent="0.3">
      <c r="C82" s="27">
        <v>167</v>
      </c>
      <c r="I82" s="27">
        <v>63</v>
      </c>
    </row>
    <row r="83" spans="3:9" x14ac:dyDescent="0.3">
      <c r="C83" s="27">
        <v>168</v>
      </c>
      <c r="I83" s="27">
        <v>63</v>
      </c>
    </row>
    <row r="84" spans="3:9" x14ac:dyDescent="0.3">
      <c r="C84" s="27">
        <v>168</v>
      </c>
      <c r="I84" s="27">
        <v>63</v>
      </c>
    </row>
    <row r="85" spans="3:9" x14ac:dyDescent="0.3">
      <c r="C85" s="27">
        <v>168</v>
      </c>
      <c r="I85" s="27">
        <v>64</v>
      </c>
    </row>
    <row r="86" spans="3:9" x14ac:dyDescent="0.3">
      <c r="C86" s="27">
        <v>168</v>
      </c>
      <c r="I86" s="27">
        <v>64</v>
      </c>
    </row>
    <row r="87" spans="3:9" x14ac:dyDescent="0.3">
      <c r="C87" s="27">
        <v>168</v>
      </c>
      <c r="I87" s="27">
        <v>64</v>
      </c>
    </row>
    <row r="88" spans="3:9" x14ac:dyDescent="0.3">
      <c r="C88" s="27">
        <v>168</v>
      </c>
      <c r="I88" s="27">
        <v>64</v>
      </c>
    </row>
    <row r="89" spans="3:9" x14ac:dyDescent="0.3">
      <c r="C89" s="27">
        <v>168</v>
      </c>
      <c r="I89" s="27">
        <v>64</v>
      </c>
    </row>
    <row r="90" spans="3:9" x14ac:dyDescent="0.3">
      <c r="C90" s="27">
        <v>168</v>
      </c>
      <c r="I90" s="27">
        <v>64</v>
      </c>
    </row>
    <row r="91" spans="3:9" x14ac:dyDescent="0.3">
      <c r="C91" s="27">
        <v>168</v>
      </c>
      <c r="I91" s="27">
        <v>64</v>
      </c>
    </row>
    <row r="92" spans="3:9" x14ac:dyDescent="0.3">
      <c r="C92" s="27">
        <v>168</v>
      </c>
      <c r="I92" s="27">
        <v>64</v>
      </c>
    </row>
    <row r="93" spans="3:9" x14ac:dyDescent="0.3">
      <c r="C93" s="27">
        <v>169</v>
      </c>
      <c r="I93" s="27">
        <v>64</v>
      </c>
    </row>
    <row r="94" spans="3:9" x14ac:dyDescent="0.3">
      <c r="C94" s="27">
        <v>169</v>
      </c>
      <c r="I94" s="27">
        <v>64</v>
      </c>
    </row>
    <row r="95" spans="3:9" x14ac:dyDescent="0.3">
      <c r="C95" s="27">
        <v>169</v>
      </c>
      <c r="I95" s="27">
        <v>64</v>
      </c>
    </row>
    <row r="96" spans="3:9" x14ac:dyDescent="0.3">
      <c r="C96" s="27">
        <v>169</v>
      </c>
      <c r="I96" s="27">
        <v>64</v>
      </c>
    </row>
    <row r="97" spans="3:9" x14ac:dyDescent="0.3">
      <c r="C97" s="27">
        <v>169</v>
      </c>
      <c r="I97" s="27">
        <v>64</v>
      </c>
    </row>
    <row r="98" spans="3:9" x14ac:dyDescent="0.3">
      <c r="C98" s="27">
        <v>169</v>
      </c>
      <c r="I98" s="27">
        <v>64</v>
      </c>
    </row>
    <row r="99" spans="3:9" x14ac:dyDescent="0.3">
      <c r="C99" s="27">
        <v>169</v>
      </c>
      <c r="I99" s="27">
        <v>65</v>
      </c>
    </row>
    <row r="100" spans="3:9" x14ac:dyDescent="0.3">
      <c r="C100" s="27">
        <v>169</v>
      </c>
      <c r="I100" s="27">
        <v>65</v>
      </c>
    </row>
    <row r="101" spans="3:9" x14ac:dyDescent="0.3">
      <c r="C101" s="27">
        <v>169</v>
      </c>
      <c r="I101" s="27">
        <v>65</v>
      </c>
    </row>
    <row r="102" spans="3:9" x14ac:dyDescent="0.3">
      <c r="C102" s="27">
        <v>169</v>
      </c>
      <c r="I102" s="27">
        <v>65</v>
      </c>
    </row>
    <row r="103" spans="3:9" x14ac:dyDescent="0.3">
      <c r="C103" s="27">
        <v>169</v>
      </c>
      <c r="I103" s="27">
        <v>65</v>
      </c>
    </row>
    <row r="104" spans="3:9" x14ac:dyDescent="0.3">
      <c r="C104" s="27">
        <v>169</v>
      </c>
      <c r="I104" s="27">
        <v>65</v>
      </c>
    </row>
    <row r="105" spans="3:9" x14ac:dyDescent="0.3">
      <c r="C105" s="27">
        <v>169</v>
      </c>
      <c r="I105" s="27">
        <v>65</v>
      </c>
    </row>
    <row r="106" spans="3:9" x14ac:dyDescent="0.3">
      <c r="C106" s="27">
        <v>169</v>
      </c>
      <c r="I106" s="27">
        <v>65</v>
      </c>
    </row>
    <row r="107" spans="3:9" x14ac:dyDescent="0.3">
      <c r="C107" s="27">
        <v>170</v>
      </c>
      <c r="I107" s="27">
        <v>65</v>
      </c>
    </row>
    <row r="108" spans="3:9" x14ac:dyDescent="0.3">
      <c r="C108" s="27">
        <v>170</v>
      </c>
      <c r="I108" s="27">
        <v>65</v>
      </c>
    </row>
    <row r="109" spans="3:9" x14ac:dyDescent="0.3">
      <c r="C109" s="27">
        <v>170</v>
      </c>
      <c r="I109" s="27">
        <v>66</v>
      </c>
    </row>
    <row r="110" spans="3:9" x14ac:dyDescent="0.3">
      <c r="C110" s="27">
        <v>170</v>
      </c>
      <c r="I110" s="27">
        <v>66</v>
      </c>
    </row>
    <row r="111" spans="3:9" x14ac:dyDescent="0.3">
      <c r="C111" s="27">
        <v>170</v>
      </c>
      <c r="I111" s="27">
        <v>66</v>
      </c>
    </row>
    <row r="112" spans="3:9" x14ac:dyDescent="0.3">
      <c r="C112" s="27">
        <v>170</v>
      </c>
      <c r="I112" s="27">
        <v>66</v>
      </c>
    </row>
    <row r="113" spans="3:9" x14ac:dyDescent="0.3">
      <c r="C113" s="27">
        <v>170</v>
      </c>
      <c r="I113" s="27">
        <v>66</v>
      </c>
    </row>
    <row r="114" spans="3:9" x14ac:dyDescent="0.3">
      <c r="C114" s="27">
        <v>170</v>
      </c>
      <c r="I114" s="27">
        <v>66</v>
      </c>
    </row>
    <row r="115" spans="3:9" x14ac:dyDescent="0.3">
      <c r="C115" s="27">
        <v>170</v>
      </c>
      <c r="I115" s="27">
        <v>66</v>
      </c>
    </row>
    <row r="116" spans="3:9" x14ac:dyDescent="0.3">
      <c r="C116" s="27">
        <v>170</v>
      </c>
      <c r="I116" s="27">
        <v>66</v>
      </c>
    </row>
    <row r="117" spans="3:9" x14ac:dyDescent="0.3">
      <c r="C117" s="27">
        <v>170</v>
      </c>
      <c r="I117" s="27">
        <v>66</v>
      </c>
    </row>
    <row r="118" spans="3:9" x14ac:dyDescent="0.3">
      <c r="C118" s="27">
        <v>171</v>
      </c>
      <c r="I118" s="27">
        <v>66</v>
      </c>
    </row>
    <row r="119" spans="3:9" x14ac:dyDescent="0.3">
      <c r="C119" s="27">
        <v>171</v>
      </c>
      <c r="I119" s="27">
        <v>66</v>
      </c>
    </row>
    <row r="120" spans="3:9" x14ac:dyDescent="0.3">
      <c r="C120" s="27">
        <v>171</v>
      </c>
      <c r="I120" s="27">
        <v>66</v>
      </c>
    </row>
    <row r="121" spans="3:9" x14ac:dyDescent="0.3">
      <c r="C121" s="27">
        <v>171</v>
      </c>
      <c r="I121" s="27">
        <v>66</v>
      </c>
    </row>
    <row r="122" spans="3:9" x14ac:dyDescent="0.3">
      <c r="C122" s="27">
        <v>171</v>
      </c>
      <c r="I122" s="27">
        <v>66</v>
      </c>
    </row>
    <row r="123" spans="3:9" x14ac:dyDescent="0.3">
      <c r="C123" s="27">
        <v>171</v>
      </c>
      <c r="I123" s="27">
        <v>66</v>
      </c>
    </row>
    <row r="124" spans="3:9" x14ac:dyDescent="0.3">
      <c r="C124" s="27">
        <v>171</v>
      </c>
      <c r="I124" s="27">
        <v>67</v>
      </c>
    </row>
    <row r="125" spans="3:9" x14ac:dyDescent="0.3">
      <c r="C125" s="27">
        <v>171</v>
      </c>
      <c r="I125" s="27">
        <v>67</v>
      </c>
    </row>
    <row r="126" spans="3:9" x14ac:dyDescent="0.3">
      <c r="C126" s="27">
        <v>171</v>
      </c>
      <c r="I126" s="27">
        <v>67</v>
      </c>
    </row>
    <row r="127" spans="3:9" x14ac:dyDescent="0.3">
      <c r="C127" s="27">
        <v>171</v>
      </c>
      <c r="I127" s="27">
        <v>67</v>
      </c>
    </row>
    <row r="128" spans="3:9" x14ac:dyDescent="0.3">
      <c r="C128" s="27">
        <v>171</v>
      </c>
      <c r="I128" s="27">
        <v>67</v>
      </c>
    </row>
    <row r="129" spans="3:9" x14ac:dyDescent="0.3">
      <c r="C129" s="27">
        <v>171</v>
      </c>
      <c r="I129" s="27">
        <v>67</v>
      </c>
    </row>
    <row r="130" spans="3:9" x14ac:dyDescent="0.3">
      <c r="C130" s="27">
        <v>171</v>
      </c>
      <c r="I130" s="27">
        <v>67</v>
      </c>
    </row>
    <row r="131" spans="3:9" x14ac:dyDescent="0.3">
      <c r="C131" s="27">
        <v>171</v>
      </c>
      <c r="I131" s="27">
        <v>67</v>
      </c>
    </row>
    <row r="132" spans="3:9" x14ac:dyDescent="0.3">
      <c r="C132" s="27">
        <v>171</v>
      </c>
      <c r="I132" s="27">
        <v>67</v>
      </c>
    </row>
    <row r="133" spans="3:9" x14ac:dyDescent="0.3">
      <c r="C133" s="27">
        <v>171</v>
      </c>
      <c r="I133" s="27">
        <v>67</v>
      </c>
    </row>
    <row r="134" spans="3:9" x14ac:dyDescent="0.3">
      <c r="C134" s="27">
        <v>171</v>
      </c>
      <c r="I134" s="27">
        <v>67</v>
      </c>
    </row>
    <row r="135" spans="3:9" x14ac:dyDescent="0.3">
      <c r="C135" s="27">
        <v>171</v>
      </c>
      <c r="I135" s="27">
        <v>67</v>
      </c>
    </row>
    <row r="136" spans="3:9" x14ac:dyDescent="0.3">
      <c r="C136" s="27">
        <v>171</v>
      </c>
      <c r="I136" s="27">
        <v>67</v>
      </c>
    </row>
    <row r="137" spans="3:9" x14ac:dyDescent="0.3">
      <c r="C137" s="27">
        <v>172</v>
      </c>
      <c r="I137" s="27">
        <v>67</v>
      </c>
    </row>
    <row r="138" spans="3:9" x14ac:dyDescent="0.3">
      <c r="C138" s="27">
        <v>172</v>
      </c>
      <c r="I138" s="27">
        <v>67</v>
      </c>
    </row>
    <row r="139" spans="3:9" x14ac:dyDescent="0.3">
      <c r="C139" s="27">
        <v>172</v>
      </c>
      <c r="I139" s="27">
        <v>67</v>
      </c>
    </row>
    <row r="140" spans="3:9" x14ac:dyDescent="0.3">
      <c r="C140" s="27">
        <v>172</v>
      </c>
      <c r="I140" s="27">
        <v>67</v>
      </c>
    </row>
    <row r="141" spans="3:9" x14ac:dyDescent="0.3">
      <c r="C141" s="27">
        <v>172</v>
      </c>
      <c r="I141" s="27">
        <v>67</v>
      </c>
    </row>
    <row r="142" spans="3:9" x14ac:dyDescent="0.3">
      <c r="C142" s="27">
        <v>172</v>
      </c>
      <c r="I142" s="27">
        <v>67</v>
      </c>
    </row>
    <row r="143" spans="3:9" x14ac:dyDescent="0.3">
      <c r="C143" s="27">
        <v>172</v>
      </c>
      <c r="I143" s="27">
        <v>68</v>
      </c>
    </row>
    <row r="144" spans="3:9" x14ac:dyDescent="0.3">
      <c r="C144" s="27">
        <v>172</v>
      </c>
      <c r="I144" s="27">
        <v>68</v>
      </c>
    </row>
    <row r="145" spans="3:9" x14ac:dyDescent="0.3">
      <c r="C145" s="27">
        <v>172</v>
      </c>
      <c r="I145" s="27">
        <v>68</v>
      </c>
    </row>
    <row r="146" spans="3:9" x14ac:dyDescent="0.3">
      <c r="C146" s="27">
        <v>172</v>
      </c>
      <c r="I146" s="27">
        <v>68</v>
      </c>
    </row>
    <row r="147" spans="3:9" x14ac:dyDescent="0.3">
      <c r="C147" s="27">
        <v>172</v>
      </c>
      <c r="I147" s="27">
        <v>68</v>
      </c>
    </row>
    <row r="148" spans="3:9" x14ac:dyDescent="0.3">
      <c r="C148" s="27">
        <v>172</v>
      </c>
      <c r="I148" s="27">
        <v>69</v>
      </c>
    </row>
    <row r="149" spans="3:9" x14ac:dyDescent="0.3">
      <c r="C149" s="27">
        <v>172</v>
      </c>
      <c r="I149" s="27">
        <v>69</v>
      </c>
    </row>
    <row r="150" spans="3:9" x14ac:dyDescent="0.3">
      <c r="C150" s="27">
        <v>173</v>
      </c>
      <c r="I150" s="27">
        <v>69</v>
      </c>
    </row>
    <row r="151" spans="3:9" x14ac:dyDescent="0.3">
      <c r="C151" s="27">
        <v>173</v>
      </c>
      <c r="I151" s="27">
        <v>69</v>
      </c>
    </row>
    <row r="152" spans="3:9" x14ac:dyDescent="0.3">
      <c r="C152" s="27">
        <v>173</v>
      </c>
      <c r="I152" s="27">
        <v>69</v>
      </c>
    </row>
    <row r="153" spans="3:9" x14ac:dyDescent="0.3">
      <c r="C153" s="27">
        <v>173</v>
      </c>
      <c r="I153" s="27">
        <v>69</v>
      </c>
    </row>
    <row r="154" spans="3:9" x14ac:dyDescent="0.3">
      <c r="C154" s="27">
        <v>173</v>
      </c>
      <c r="I154" s="27">
        <v>70</v>
      </c>
    </row>
    <row r="155" spans="3:9" x14ac:dyDescent="0.3">
      <c r="C155" s="27">
        <v>173</v>
      </c>
      <c r="I155" s="27">
        <v>70</v>
      </c>
    </row>
    <row r="156" spans="3:9" x14ac:dyDescent="0.3">
      <c r="C156" s="27">
        <v>173</v>
      </c>
      <c r="I156" s="27">
        <v>70</v>
      </c>
    </row>
    <row r="157" spans="3:9" x14ac:dyDescent="0.3">
      <c r="C157" s="27">
        <v>173</v>
      </c>
      <c r="I157" s="27">
        <v>70</v>
      </c>
    </row>
    <row r="158" spans="3:9" x14ac:dyDescent="0.3">
      <c r="C158" s="27">
        <v>174</v>
      </c>
      <c r="I158" s="27">
        <v>70</v>
      </c>
    </row>
    <row r="159" spans="3:9" x14ac:dyDescent="0.3">
      <c r="C159" s="27">
        <v>174</v>
      </c>
      <c r="I159" s="27">
        <v>70</v>
      </c>
    </row>
    <row r="160" spans="3:9" x14ac:dyDescent="0.3">
      <c r="C160" s="27">
        <v>174</v>
      </c>
      <c r="I160" s="27">
        <v>71</v>
      </c>
    </row>
    <row r="161" spans="3:9" x14ac:dyDescent="0.3">
      <c r="C161" s="27">
        <v>174</v>
      </c>
      <c r="I161" s="27">
        <v>71</v>
      </c>
    </row>
    <row r="162" spans="3:9" x14ac:dyDescent="0.3">
      <c r="C162" s="27">
        <v>174</v>
      </c>
      <c r="I162" s="27">
        <v>71</v>
      </c>
    </row>
    <row r="163" spans="3:9" x14ac:dyDescent="0.3">
      <c r="C163" s="27">
        <v>175</v>
      </c>
      <c r="I163" s="27">
        <v>71</v>
      </c>
    </row>
    <row r="164" spans="3:9" x14ac:dyDescent="0.3">
      <c r="C164" s="27">
        <v>175</v>
      </c>
      <c r="I164" s="27">
        <v>71</v>
      </c>
    </row>
    <row r="165" spans="3:9" x14ac:dyDescent="0.3">
      <c r="C165" s="27">
        <v>175</v>
      </c>
      <c r="I165" s="27">
        <v>71</v>
      </c>
    </row>
    <row r="166" spans="3:9" x14ac:dyDescent="0.3">
      <c r="C166" s="27">
        <v>175</v>
      </c>
      <c r="I166" s="27">
        <v>71</v>
      </c>
    </row>
    <row r="167" spans="3:9" x14ac:dyDescent="0.3">
      <c r="C167" s="27">
        <v>175</v>
      </c>
      <c r="I167" s="27">
        <v>71</v>
      </c>
    </row>
    <row r="168" spans="3:9" x14ac:dyDescent="0.3">
      <c r="C168" s="27">
        <v>175</v>
      </c>
      <c r="I168" s="27">
        <v>71</v>
      </c>
    </row>
    <row r="169" spans="3:9" x14ac:dyDescent="0.3">
      <c r="C169" s="27">
        <v>176</v>
      </c>
      <c r="I169" s="27">
        <v>71</v>
      </c>
    </row>
    <row r="170" spans="3:9" x14ac:dyDescent="0.3">
      <c r="C170" s="27">
        <v>176</v>
      </c>
      <c r="I170" s="27">
        <v>72</v>
      </c>
    </row>
    <row r="171" spans="3:9" x14ac:dyDescent="0.3">
      <c r="C171" s="27">
        <v>176</v>
      </c>
      <c r="I171" s="27">
        <v>72</v>
      </c>
    </row>
    <row r="172" spans="3:9" x14ac:dyDescent="0.3">
      <c r="C172" s="27">
        <v>176</v>
      </c>
      <c r="I172" s="27">
        <v>72</v>
      </c>
    </row>
    <row r="173" spans="3:9" x14ac:dyDescent="0.3">
      <c r="C173" s="27">
        <v>176</v>
      </c>
      <c r="I173" s="27">
        <v>72</v>
      </c>
    </row>
    <row r="174" spans="3:9" x14ac:dyDescent="0.3">
      <c r="C174" s="27">
        <v>176</v>
      </c>
      <c r="I174" s="27">
        <v>72</v>
      </c>
    </row>
    <row r="175" spans="3:9" x14ac:dyDescent="0.3">
      <c r="C175" s="27">
        <v>176</v>
      </c>
      <c r="I175" s="27">
        <v>73</v>
      </c>
    </row>
    <row r="176" spans="3:9" x14ac:dyDescent="0.3">
      <c r="C176" s="27">
        <v>176</v>
      </c>
      <c r="I176" s="27">
        <v>73</v>
      </c>
    </row>
    <row r="177" spans="3:9" x14ac:dyDescent="0.3">
      <c r="C177" s="27">
        <v>177</v>
      </c>
      <c r="I177" s="27">
        <v>73</v>
      </c>
    </row>
    <row r="178" spans="3:9" x14ac:dyDescent="0.3">
      <c r="C178" s="27">
        <v>177</v>
      </c>
      <c r="I178" s="27">
        <v>73</v>
      </c>
    </row>
    <row r="179" spans="3:9" x14ac:dyDescent="0.3">
      <c r="C179" s="27">
        <v>177</v>
      </c>
      <c r="I179" s="27">
        <v>74</v>
      </c>
    </row>
    <row r="180" spans="3:9" x14ac:dyDescent="0.3">
      <c r="C180" s="27">
        <v>177</v>
      </c>
      <c r="I180" s="27">
        <v>74</v>
      </c>
    </row>
    <row r="181" spans="3:9" x14ac:dyDescent="0.3">
      <c r="C181" s="27">
        <v>177</v>
      </c>
      <c r="I181" s="27">
        <v>75</v>
      </c>
    </row>
    <row r="182" spans="3:9" x14ac:dyDescent="0.3">
      <c r="C182" s="27">
        <v>178</v>
      </c>
      <c r="I182" s="27">
        <v>75</v>
      </c>
    </row>
    <row r="183" spans="3:9" x14ac:dyDescent="0.3">
      <c r="C183" s="27">
        <v>178</v>
      </c>
      <c r="I183" s="27">
        <v>75</v>
      </c>
    </row>
    <row r="184" spans="3:9" x14ac:dyDescent="0.3">
      <c r="C184" s="27">
        <v>178</v>
      </c>
      <c r="I184" s="27">
        <v>75</v>
      </c>
    </row>
    <row r="185" spans="3:9" x14ac:dyDescent="0.3">
      <c r="C185" s="27">
        <v>178</v>
      </c>
      <c r="I185" s="27">
        <v>75</v>
      </c>
    </row>
    <row r="186" spans="3:9" x14ac:dyDescent="0.3">
      <c r="C186" s="27">
        <v>178</v>
      </c>
      <c r="I186" s="27">
        <v>75</v>
      </c>
    </row>
    <row r="187" spans="3:9" x14ac:dyDescent="0.3">
      <c r="C187" s="27">
        <v>178</v>
      </c>
      <c r="I187" s="27">
        <v>76</v>
      </c>
    </row>
    <row r="188" spans="3:9" x14ac:dyDescent="0.3">
      <c r="C188" s="27">
        <v>179</v>
      </c>
      <c r="I188" s="27">
        <v>76</v>
      </c>
    </row>
    <row r="189" spans="3:9" x14ac:dyDescent="0.3">
      <c r="C189" s="27">
        <v>179</v>
      </c>
      <c r="I189" s="27">
        <v>76</v>
      </c>
    </row>
    <row r="190" spans="3:9" x14ac:dyDescent="0.3">
      <c r="C190" s="27">
        <v>179</v>
      </c>
      <c r="I190" s="27">
        <v>76</v>
      </c>
    </row>
    <row r="191" spans="3:9" x14ac:dyDescent="0.3">
      <c r="C191" s="27">
        <v>179</v>
      </c>
      <c r="I191" s="27">
        <v>76</v>
      </c>
    </row>
    <row r="192" spans="3:9" x14ac:dyDescent="0.3">
      <c r="C192" s="27">
        <v>179</v>
      </c>
      <c r="I192" s="27">
        <v>77</v>
      </c>
    </row>
    <row r="193" spans="3:9" x14ac:dyDescent="0.3">
      <c r="C193" s="27">
        <v>180</v>
      </c>
      <c r="I193" s="27">
        <v>77</v>
      </c>
    </row>
    <row r="194" spans="3:9" x14ac:dyDescent="0.3">
      <c r="C194" s="27">
        <v>180</v>
      </c>
      <c r="I194" s="27">
        <v>77</v>
      </c>
    </row>
    <row r="195" spans="3:9" x14ac:dyDescent="0.3">
      <c r="C195" s="27">
        <v>180</v>
      </c>
      <c r="I195" s="27">
        <v>78</v>
      </c>
    </row>
    <row r="196" spans="3:9" x14ac:dyDescent="0.3">
      <c r="C196" s="27">
        <v>182</v>
      </c>
      <c r="I196" s="27">
        <v>78</v>
      </c>
    </row>
    <row r="197" spans="3:9" x14ac:dyDescent="0.3">
      <c r="C197" s="27">
        <v>182</v>
      </c>
      <c r="I197" s="27">
        <v>78</v>
      </c>
    </row>
    <row r="198" spans="3:9" x14ac:dyDescent="0.3">
      <c r="C198" s="27">
        <v>184</v>
      </c>
      <c r="I198" s="27">
        <v>80</v>
      </c>
    </row>
    <row r="199" spans="3:9" x14ac:dyDescent="0.3">
      <c r="C199" s="27">
        <v>186</v>
      </c>
      <c r="I199" s="27">
        <v>80</v>
      </c>
    </row>
    <row r="200" spans="3:9" x14ac:dyDescent="0.3">
      <c r="C200" s="27">
        <v>190</v>
      </c>
      <c r="I200" s="27">
        <v>80</v>
      </c>
    </row>
    <row r="201" spans="3:9" x14ac:dyDescent="0.3">
      <c r="C201" s="27">
        <v>196</v>
      </c>
      <c r="I201" s="27">
        <v>80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5CDF-9611-449D-9889-047B1016636A}">
  <dimension ref="A1:F27"/>
  <sheetViews>
    <sheetView topLeftCell="A3" zoomScale="103" workbookViewId="0">
      <selection activeCell="A10" sqref="A10"/>
    </sheetView>
  </sheetViews>
  <sheetFormatPr defaultRowHeight="15.6" x14ac:dyDescent="0.3"/>
  <cols>
    <col min="1" max="1" width="80.21875" style="7" customWidth="1"/>
    <col min="2" max="2" width="34" style="7" bestFit="1" customWidth="1"/>
    <col min="3" max="4" width="8.88671875" style="7"/>
    <col min="5" max="5" width="10.5546875" style="7" bestFit="1" customWidth="1"/>
    <col min="6" max="16384" width="8.88671875" style="7"/>
  </cols>
  <sheetData>
    <row r="1" spans="1:6" x14ac:dyDescent="0.3">
      <c r="A1" s="7" t="s">
        <v>81</v>
      </c>
    </row>
    <row r="2" spans="1:6" x14ac:dyDescent="0.3">
      <c r="A2" s="7" t="s">
        <v>80</v>
      </c>
    </row>
    <row r="4" spans="1:6" x14ac:dyDescent="0.3">
      <c r="A4" s="7" t="s">
        <v>14</v>
      </c>
      <c r="C4" s="7" t="s">
        <v>84</v>
      </c>
      <c r="D4" s="8">
        <f>C21-B16*6/SQRT(B15)</f>
        <v>168.54845770539018</v>
      </c>
      <c r="E4" s="29" t="s">
        <v>85</v>
      </c>
      <c r="F4" s="8">
        <f>C21 + B16 * 6/SQRT(B15)</f>
        <v>170.21154229460981</v>
      </c>
    </row>
    <row r="5" spans="1:6" x14ac:dyDescent="0.3">
      <c r="A5" s="7" t="s">
        <v>13</v>
      </c>
      <c r="E5" s="9"/>
    </row>
    <row r="6" spans="1:6" x14ac:dyDescent="0.3">
      <c r="A6" s="7" t="s">
        <v>17</v>
      </c>
      <c r="C6" s="7" t="s">
        <v>86</v>
      </c>
      <c r="D6" s="8">
        <f>C21 - B17 *C25/SQRT(B15)</f>
        <v>168.51223552917889</v>
      </c>
      <c r="E6" s="29" t="s">
        <v>85</v>
      </c>
      <c r="F6" s="8">
        <f>C21 + B17 * C25/SQRT(B15)</f>
        <v>170.2477644708211</v>
      </c>
    </row>
    <row r="7" spans="1:6" x14ac:dyDescent="0.3">
      <c r="A7" s="7" t="s">
        <v>18</v>
      </c>
    </row>
    <row r="8" spans="1:6" x14ac:dyDescent="0.3">
      <c r="A8" s="30" t="s">
        <v>19</v>
      </c>
      <c r="C8" s="7" t="s">
        <v>87</v>
      </c>
      <c r="D8" s="7">
        <f>(B15-1)*C25*C25/B19</f>
        <v>32.118395645881009</v>
      </c>
      <c r="E8" s="9" t="s">
        <v>89</v>
      </c>
      <c r="F8" s="7">
        <f>(B15-1)*C25*C25/B18</f>
        <v>47.625914953936238</v>
      </c>
    </row>
    <row r="9" spans="1:6" x14ac:dyDescent="0.3">
      <c r="D9" s="8">
        <f>SQRT(D8)</f>
        <v>5.6673093832859527</v>
      </c>
      <c r="E9" s="29" t="s">
        <v>90</v>
      </c>
      <c r="F9" s="8">
        <f>SQRT(F8)</f>
        <v>6.9011531611706927</v>
      </c>
    </row>
    <row r="10" spans="1:6" x14ac:dyDescent="0.3">
      <c r="A10" s="7" t="s">
        <v>16</v>
      </c>
    </row>
    <row r="11" spans="1:6" x14ac:dyDescent="0.3">
      <c r="C11" s="7" t="s">
        <v>88</v>
      </c>
      <c r="D11" s="7">
        <f>B15*(C22 + (C21 - 170)^2)/B27</f>
        <v>32.29099791006935</v>
      </c>
      <c r="E11" s="9" t="s">
        <v>89</v>
      </c>
      <c r="F11" s="7">
        <f>B15*(C22 + (C21 - 170)^2)/B26</f>
        <v>47.834428230016833</v>
      </c>
    </row>
    <row r="12" spans="1:6" x14ac:dyDescent="0.3">
      <c r="D12" s="8">
        <f>SQRT(D11)</f>
        <v>5.6825168640373915</v>
      </c>
      <c r="E12" s="29" t="s">
        <v>90</v>
      </c>
      <c r="F12" s="8">
        <f>SQRT(F11)</f>
        <v>6.9162437948655944</v>
      </c>
    </row>
    <row r="15" spans="1:6" x14ac:dyDescent="0.3">
      <c r="A15" s="7" t="s">
        <v>91</v>
      </c>
      <c r="B15" s="7">
        <v>200</v>
      </c>
    </row>
    <row r="16" spans="1:6" x14ac:dyDescent="0.3">
      <c r="A16" s="7" t="s">
        <v>82</v>
      </c>
      <c r="B16" s="7">
        <f>_xlfn.NORM.S.INV((1+0.95)/2)</f>
        <v>1.9599639845400536</v>
      </c>
    </row>
    <row r="17" spans="1:3" x14ac:dyDescent="0.3">
      <c r="A17" s="7" t="s">
        <v>83</v>
      </c>
      <c r="B17" s="7">
        <f>_xlfn.T.INV((1+0.95)/2,199)</f>
        <v>1.9719565442517553</v>
      </c>
    </row>
    <row r="18" spans="1:3" x14ac:dyDescent="0.3">
      <c r="A18" s="7" t="s">
        <v>94</v>
      </c>
      <c r="B18" s="7">
        <f>_xlfn.CHISQ.INV((1 - 0.95)/2,199)</f>
        <v>161.82618239364686</v>
      </c>
    </row>
    <row r="19" spans="1:3" x14ac:dyDescent="0.3">
      <c r="A19" s="7" t="s">
        <v>95</v>
      </c>
      <c r="B19" s="7">
        <f>_xlfn.CHISQ.INV((1 + 0.95)/2,199)</f>
        <v>239.9596818276442</v>
      </c>
    </row>
    <row r="21" spans="1:3" x14ac:dyDescent="0.3">
      <c r="A21" s="9" t="s">
        <v>62</v>
      </c>
      <c r="B21" s="31" t="s">
        <v>58</v>
      </c>
      <c r="C21" s="7">
        <f>AVERAGE(Рост)</f>
        <v>169.38</v>
      </c>
    </row>
    <row r="22" spans="1:3" x14ac:dyDescent="0.3">
      <c r="A22" s="9" t="s">
        <v>63</v>
      </c>
      <c r="B22" s="31" t="s">
        <v>64</v>
      </c>
      <c r="C22" s="7">
        <f>_xlfn.VAR.P(Рост)</f>
        <v>38.535600000000002</v>
      </c>
    </row>
    <row r="23" spans="1:3" x14ac:dyDescent="0.3">
      <c r="A23" s="9" t="s">
        <v>65</v>
      </c>
      <c r="B23" s="31" t="s">
        <v>66</v>
      </c>
      <c r="C23" s="7">
        <f>_xlfn.VAR.S(Рост)</f>
        <v>38.729246231155777</v>
      </c>
    </row>
    <row r="24" spans="1:3" x14ac:dyDescent="0.3">
      <c r="A24" s="9" t="s">
        <v>67</v>
      </c>
      <c r="B24" s="31" t="s">
        <v>68</v>
      </c>
      <c r="C24" s="7">
        <f>_xlfn.STDEV.P(Рост)</f>
        <v>6.2077048898928826</v>
      </c>
    </row>
    <row r="25" spans="1:3" x14ac:dyDescent="0.3">
      <c r="A25" s="9" t="s">
        <v>69</v>
      </c>
      <c r="B25" s="31" t="s">
        <v>70</v>
      </c>
      <c r="C25" s="7">
        <f>_xlfn.STDEV.S(Рост)</f>
        <v>6.2232825929051119</v>
      </c>
    </row>
    <row r="26" spans="1:3" x14ac:dyDescent="0.3">
      <c r="A26" s="7" t="s">
        <v>92</v>
      </c>
      <c r="B26" s="7">
        <f>_xlfn.CHISQ.INV((1 - 0.95)/2,200)</f>
        <v>162.7279825018463</v>
      </c>
    </row>
    <row r="27" spans="1:3" x14ac:dyDescent="0.3">
      <c r="A27" s="7" t="s">
        <v>93</v>
      </c>
      <c r="B27" s="7">
        <f>_xlfn.CHISQ.INV((1 + 0.95)/2,200)</f>
        <v>241.0578955063109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2D84-35FD-4C13-A661-0BE750F28CE8}">
  <dimension ref="A1:Q21"/>
  <sheetViews>
    <sheetView zoomScale="75" workbookViewId="0">
      <selection sqref="A1:Q21"/>
    </sheetView>
  </sheetViews>
  <sheetFormatPr defaultRowHeight="14.4" x14ac:dyDescent="0.3"/>
  <cols>
    <col min="1" max="1" width="70.88671875" bestFit="1" customWidth="1"/>
    <col min="9" max="9" width="16.77734375" bestFit="1" customWidth="1"/>
    <col min="14" max="14" width="10.6640625" bestFit="1" customWidth="1"/>
    <col min="16" max="16" width="11.77734375" bestFit="1" customWidth="1"/>
    <col min="17" max="17" width="12" bestFit="1" customWidth="1"/>
  </cols>
  <sheetData>
    <row r="1" spans="1:17" ht="15.6" x14ac:dyDescent="0.3">
      <c r="A1" s="7" t="s">
        <v>96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5.6" x14ac:dyDescent="0.3">
      <c r="A2" s="7" t="s">
        <v>97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15.6" x14ac:dyDescent="0.3">
      <c r="A3" s="7" t="s">
        <v>98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5.6" x14ac:dyDescent="0.3">
      <c r="A4" s="7" t="s">
        <v>99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5.6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>
        <f>50*O7</f>
        <v>3.7240849595506402</v>
      </c>
      <c r="Q5" s="7"/>
    </row>
    <row r="6" spans="1:17" ht="15.6" x14ac:dyDescent="0.3">
      <c r="A6" s="7"/>
      <c r="B6" s="7"/>
      <c r="C6" s="9" t="s">
        <v>39</v>
      </c>
      <c r="D6" s="9" t="s">
        <v>41</v>
      </c>
      <c r="E6" s="9" t="s">
        <v>42</v>
      </c>
      <c r="F6" s="9" t="s">
        <v>52</v>
      </c>
      <c r="G6" s="7"/>
      <c r="H6" s="7"/>
      <c r="I6" s="9" t="s">
        <v>39</v>
      </c>
      <c r="J6" s="9" t="s">
        <v>41</v>
      </c>
      <c r="K6" s="9" t="s">
        <v>42</v>
      </c>
      <c r="L6" s="9" t="s">
        <v>52</v>
      </c>
      <c r="M6" s="7" t="s">
        <v>132</v>
      </c>
      <c r="N6" s="9" t="s">
        <v>134</v>
      </c>
      <c r="O6" s="9" t="s">
        <v>135</v>
      </c>
      <c r="P6" s="9" t="s">
        <v>136</v>
      </c>
      <c r="Q6" s="9" t="s">
        <v>137</v>
      </c>
    </row>
    <row r="7" spans="1:17" ht="15.6" x14ac:dyDescent="0.3">
      <c r="A7" s="7" t="s">
        <v>143</v>
      </c>
      <c r="B7" s="7"/>
      <c r="C7" s="9">
        <v>1</v>
      </c>
      <c r="D7" s="9">
        <v>156</v>
      </c>
      <c r="E7" s="9">
        <v>160</v>
      </c>
      <c r="F7" s="9">
        <v>11</v>
      </c>
      <c r="G7" s="7"/>
      <c r="H7" s="7"/>
      <c r="I7" s="9">
        <v>1</v>
      </c>
      <c r="J7" s="9" t="s">
        <v>130</v>
      </c>
      <c r="K7" s="9">
        <v>160</v>
      </c>
      <c r="L7" s="9">
        <v>11</v>
      </c>
      <c r="M7" s="9" t="s">
        <v>130</v>
      </c>
      <c r="N7" s="9">
        <v>0</v>
      </c>
      <c r="O7" s="7">
        <f t="shared" ref="O7:O13" si="0">N8-N7</f>
        <v>7.4481699191012801E-2</v>
      </c>
      <c r="P7" s="7">
        <f>200*O7</f>
        <v>14.896339838202561</v>
      </c>
      <c r="Q7" s="7">
        <f>(L7-P7)^2/P7</f>
        <v>1.0191405606785755</v>
      </c>
    </row>
    <row r="8" spans="1:17" ht="15.6" x14ac:dyDescent="0.3">
      <c r="A8" s="7"/>
      <c r="B8" s="7"/>
      <c r="C8" s="9">
        <v>2</v>
      </c>
      <c r="D8" s="9">
        <v>160</v>
      </c>
      <c r="E8" s="9">
        <v>164</v>
      </c>
      <c r="F8" s="9">
        <v>33</v>
      </c>
      <c r="G8" s="7"/>
      <c r="H8" s="7"/>
      <c r="I8" s="9">
        <v>2</v>
      </c>
      <c r="J8" s="9">
        <v>160</v>
      </c>
      <c r="K8" s="9">
        <v>164</v>
      </c>
      <c r="L8" s="9">
        <v>33</v>
      </c>
      <c r="M8" s="7">
        <f t="shared" ref="M8:M13" si="1">(J8 - $J$16)/$J$17</f>
        <v>-1.4432026318016613</v>
      </c>
      <c r="N8" s="7">
        <f t="shared" ref="N8:N13" si="2">_xlfn.NORM.S.DIST(M8,1)</f>
        <v>7.4481699191012801E-2</v>
      </c>
      <c r="O8" s="7">
        <f t="shared" si="0"/>
        <v>0.13980247711995333</v>
      </c>
      <c r="P8" s="7">
        <f>200*O8</f>
        <v>27.960495423990668</v>
      </c>
      <c r="Q8" s="7">
        <f t="shared" ref="Q8:Q13" si="3">(L8-P8)^2/P8</f>
        <v>0.90830316081696438</v>
      </c>
    </row>
    <row r="9" spans="1:17" ht="15.6" x14ac:dyDescent="0.3">
      <c r="A9" s="8" t="s">
        <v>227</v>
      </c>
      <c r="B9" s="7"/>
      <c r="C9" s="9">
        <v>3</v>
      </c>
      <c r="D9" s="9">
        <v>164</v>
      </c>
      <c r="E9" s="9">
        <v>168</v>
      </c>
      <c r="F9" s="9">
        <v>47</v>
      </c>
      <c r="G9" s="7"/>
      <c r="H9" s="7"/>
      <c r="I9" s="9">
        <v>3</v>
      </c>
      <c r="J9" s="9">
        <v>164</v>
      </c>
      <c r="K9" s="9">
        <v>168</v>
      </c>
      <c r="L9" s="9">
        <v>47</v>
      </c>
      <c r="M9" s="7">
        <f t="shared" si="1"/>
        <v>-0.79164388155260534</v>
      </c>
      <c r="N9" s="7">
        <f t="shared" si="2"/>
        <v>0.21428417631096613</v>
      </c>
      <c r="O9" s="7">
        <f t="shared" si="0"/>
        <v>0.23001218781391575</v>
      </c>
      <c r="P9" s="7">
        <f t="shared" ref="P9:P13" si="4">200*O9</f>
        <v>46.00243756278315</v>
      </c>
      <c r="Q9" s="7">
        <f t="shared" si="3"/>
        <v>2.1632132314464592E-2</v>
      </c>
    </row>
    <row r="10" spans="1:17" ht="15.6" x14ac:dyDescent="0.3">
      <c r="A10" s="8" t="s">
        <v>228</v>
      </c>
      <c r="B10" s="7"/>
      <c r="C10" s="9">
        <v>4</v>
      </c>
      <c r="D10" s="9">
        <v>168</v>
      </c>
      <c r="E10" s="9">
        <v>172</v>
      </c>
      <c r="F10" s="9">
        <v>57</v>
      </c>
      <c r="G10" s="7"/>
      <c r="H10" s="7"/>
      <c r="I10" s="9">
        <v>4</v>
      </c>
      <c r="J10" s="9">
        <v>168</v>
      </c>
      <c r="K10" s="9">
        <v>172</v>
      </c>
      <c r="L10" s="9">
        <v>57</v>
      </c>
      <c r="M10" s="7">
        <f t="shared" si="1"/>
        <v>-0.14008513130354927</v>
      </c>
      <c r="N10" s="7">
        <f t="shared" si="2"/>
        <v>0.44429636412488188</v>
      </c>
      <c r="O10" s="7">
        <f t="shared" si="0"/>
        <v>0.2511939076154967</v>
      </c>
      <c r="P10" s="7">
        <f t="shared" si="4"/>
        <v>50.238781523099341</v>
      </c>
      <c r="Q10" s="7">
        <f t="shared" si="3"/>
        <v>0.9099359878257387</v>
      </c>
    </row>
    <row r="11" spans="1:17" ht="15.6" x14ac:dyDescent="0.3">
      <c r="A11" s="7"/>
      <c r="B11" s="7"/>
      <c r="C11" s="9">
        <v>5</v>
      </c>
      <c r="D11" s="9">
        <v>172</v>
      </c>
      <c r="E11" s="9">
        <v>176</v>
      </c>
      <c r="F11" s="9">
        <v>27</v>
      </c>
      <c r="G11" s="7"/>
      <c r="H11" s="7"/>
      <c r="I11" s="9">
        <v>5</v>
      </c>
      <c r="J11" s="9">
        <v>172</v>
      </c>
      <c r="K11" s="9">
        <v>176</v>
      </c>
      <c r="L11" s="9">
        <v>27</v>
      </c>
      <c r="M11" s="7">
        <f t="shared" si="1"/>
        <v>0.5114736189455068</v>
      </c>
      <c r="N11" s="7">
        <f t="shared" si="2"/>
        <v>0.69549027174037859</v>
      </c>
      <c r="O11" s="7">
        <f t="shared" si="0"/>
        <v>0.1821015434457377</v>
      </c>
      <c r="P11" s="7">
        <f t="shared" si="4"/>
        <v>36.420308689147539</v>
      </c>
      <c r="Q11" s="7">
        <f t="shared" si="3"/>
        <v>2.436613499249991</v>
      </c>
    </row>
    <row r="12" spans="1:17" ht="15.6" x14ac:dyDescent="0.3">
      <c r="A12" s="7"/>
      <c r="B12" s="7"/>
      <c r="C12" s="9">
        <v>6</v>
      </c>
      <c r="D12" s="9">
        <v>176</v>
      </c>
      <c r="E12" s="9">
        <v>180</v>
      </c>
      <c r="F12" s="9">
        <v>19</v>
      </c>
      <c r="G12" s="7"/>
      <c r="H12" s="7"/>
      <c r="I12" s="9">
        <v>6</v>
      </c>
      <c r="J12" s="9">
        <v>176</v>
      </c>
      <c r="K12" s="9">
        <v>180</v>
      </c>
      <c r="L12" s="9">
        <v>19</v>
      </c>
      <c r="M12" s="7">
        <f t="shared" si="1"/>
        <v>1.1630323691945628</v>
      </c>
      <c r="N12" s="7">
        <f t="shared" si="2"/>
        <v>0.87759181518611629</v>
      </c>
      <c r="O12" s="7">
        <f t="shared" si="0"/>
        <v>8.7614800691599992E-2</v>
      </c>
      <c r="P12" s="7">
        <f t="shared" si="4"/>
        <v>17.522960138319998</v>
      </c>
      <c r="Q12" s="7">
        <f t="shared" si="3"/>
        <v>0.12450218089697954</v>
      </c>
    </row>
    <row r="13" spans="1:17" ht="15.6" x14ac:dyDescent="0.3">
      <c r="A13" s="7"/>
      <c r="B13" s="7"/>
      <c r="C13" s="9">
        <v>7</v>
      </c>
      <c r="D13" s="9">
        <v>180</v>
      </c>
      <c r="E13" s="9">
        <v>184</v>
      </c>
      <c r="F13" s="9">
        <v>3</v>
      </c>
      <c r="G13" s="7"/>
      <c r="H13" s="7"/>
      <c r="I13" s="9">
        <v>7</v>
      </c>
      <c r="J13" s="9">
        <v>180</v>
      </c>
      <c r="K13" s="9" t="s">
        <v>131</v>
      </c>
      <c r="L13" s="9">
        <f>6</f>
        <v>6</v>
      </c>
      <c r="M13" s="7">
        <f t="shared" si="1"/>
        <v>1.8145911194436188</v>
      </c>
      <c r="N13" s="7">
        <f t="shared" si="2"/>
        <v>0.96520661587771628</v>
      </c>
      <c r="O13" s="7">
        <f t="shared" si="0"/>
        <v>3.4793384122283721E-2</v>
      </c>
      <c r="P13" s="7">
        <f t="shared" si="4"/>
        <v>6.9586768244567443</v>
      </c>
      <c r="Q13" s="7">
        <f t="shared" si="3"/>
        <v>0.13207413951462207</v>
      </c>
    </row>
    <row r="14" spans="1:17" ht="15.6" x14ac:dyDescent="0.3">
      <c r="A14" s="7"/>
      <c r="B14" s="7"/>
      <c r="C14" s="9">
        <v>8</v>
      </c>
      <c r="D14" s="9">
        <v>184</v>
      </c>
      <c r="E14" s="9">
        <v>188</v>
      </c>
      <c r="F14" s="9">
        <v>1</v>
      </c>
      <c r="G14" s="7"/>
      <c r="H14" s="7"/>
      <c r="I14" s="7"/>
      <c r="J14" s="7"/>
      <c r="K14" s="7"/>
      <c r="L14" s="7"/>
      <c r="M14" s="9" t="s">
        <v>131</v>
      </c>
      <c r="N14" s="7">
        <v>1</v>
      </c>
      <c r="O14" s="7"/>
      <c r="P14" s="7"/>
      <c r="Q14" s="7">
        <f>SUM(Q7:Q13)</f>
        <v>5.5522016612973362</v>
      </c>
    </row>
    <row r="15" spans="1:17" ht="15.6" x14ac:dyDescent="0.3">
      <c r="A15" s="7"/>
      <c r="B15" s="7"/>
      <c r="C15" s="9">
        <v>9</v>
      </c>
      <c r="D15" s="9">
        <v>188</v>
      </c>
      <c r="E15" s="9">
        <v>192</v>
      </c>
      <c r="F15" s="9">
        <v>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5.6" x14ac:dyDescent="0.3">
      <c r="A16" s="7"/>
      <c r="B16" s="7"/>
      <c r="C16" s="9">
        <v>10</v>
      </c>
      <c r="D16" s="9">
        <v>192</v>
      </c>
      <c r="E16" s="9">
        <v>196</v>
      </c>
      <c r="F16" s="9">
        <v>1</v>
      </c>
      <c r="G16" s="7"/>
      <c r="H16" s="7"/>
      <c r="I16" s="7" t="s">
        <v>133</v>
      </c>
      <c r="J16" s="7">
        <f>'4'!Q2</f>
        <v>168.86</v>
      </c>
      <c r="K16" s="7"/>
      <c r="L16" s="7"/>
      <c r="M16" s="7"/>
      <c r="N16" s="7" t="s">
        <v>138</v>
      </c>
      <c r="O16" s="7"/>
      <c r="P16" s="7" t="s">
        <v>139</v>
      </c>
      <c r="Q16" s="7"/>
    </row>
    <row r="17" spans="1:17" ht="15.6" x14ac:dyDescent="0.3">
      <c r="A17" s="7"/>
      <c r="B17" s="7"/>
      <c r="C17" s="7"/>
      <c r="D17" s="7"/>
      <c r="E17" s="7"/>
      <c r="F17" s="7"/>
      <c r="G17" s="7"/>
      <c r="H17" s="7"/>
      <c r="I17" s="7" t="s">
        <v>69</v>
      </c>
      <c r="J17" s="7">
        <f>'4'!Q6</f>
        <v>6.139124059758255</v>
      </c>
      <c r="K17" s="7"/>
      <c r="L17" s="7"/>
      <c r="M17" s="7"/>
      <c r="N17" s="8">
        <f>Q14</f>
        <v>5.5522016612973362</v>
      </c>
      <c r="O17" s="29" t="s">
        <v>226</v>
      </c>
      <c r="P17" s="8">
        <f>J20</f>
        <v>9.4877290367811575</v>
      </c>
      <c r="Q17" s="7" t="s">
        <v>142</v>
      </c>
    </row>
    <row r="18" spans="1:17" ht="15.6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t="15.6" x14ac:dyDescent="0.3">
      <c r="A19" s="7"/>
      <c r="B19" s="7"/>
      <c r="C19" s="7"/>
      <c r="D19" s="7"/>
      <c r="E19" s="7"/>
      <c r="F19" s="7"/>
      <c r="G19" s="7"/>
      <c r="H19" s="7"/>
      <c r="I19" s="7" t="s">
        <v>140</v>
      </c>
      <c r="J19" s="9">
        <v>4</v>
      </c>
      <c r="K19" s="7"/>
      <c r="L19" s="7"/>
      <c r="M19" s="7"/>
      <c r="N19" s="7"/>
      <c r="O19" s="7"/>
      <c r="P19" s="7"/>
      <c r="Q19" s="7"/>
    </row>
    <row r="20" spans="1:17" ht="15.6" x14ac:dyDescent="0.3">
      <c r="A20" s="7"/>
      <c r="B20" s="7"/>
      <c r="C20" s="7"/>
      <c r="D20" s="7"/>
      <c r="E20" s="7"/>
      <c r="F20" s="7"/>
      <c r="G20" s="7"/>
      <c r="H20" s="7"/>
      <c r="I20" s="7" t="s">
        <v>129</v>
      </c>
      <c r="J20" s="7">
        <f>_xlfn.CHISQ.INV.RT(0.05,4)</f>
        <v>9.4877290367811575</v>
      </c>
      <c r="K20" s="7"/>
      <c r="L20" s="7"/>
      <c r="M20" s="7"/>
      <c r="N20" s="7"/>
      <c r="O20" s="7"/>
      <c r="P20" s="7"/>
      <c r="Q20" s="7"/>
    </row>
    <row r="21" spans="1:17" ht="15.6" x14ac:dyDescent="0.3">
      <c r="A21" s="7"/>
      <c r="B21" s="7"/>
      <c r="C21" s="7"/>
      <c r="D21" s="7"/>
      <c r="E21" s="7"/>
      <c r="F21" s="7"/>
      <c r="G21" s="7"/>
      <c r="H21" s="7"/>
      <c r="I21" s="7" t="s">
        <v>141</v>
      </c>
      <c r="J21" s="7"/>
      <c r="K21" s="7"/>
      <c r="L21" s="7"/>
      <c r="M21" s="7"/>
      <c r="N21" s="7"/>
      <c r="O21" s="7"/>
      <c r="P21" s="7"/>
      <c r="Q21" s="7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AD8F-82AD-488F-90DA-ED3EFF0EC0A6}">
  <dimension ref="A1:L101"/>
  <sheetViews>
    <sheetView zoomScale="107" zoomScaleNormal="70" workbookViewId="0">
      <selection activeCell="I9" sqref="I9"/>
    </sheetView>
  </sheetViews>
  <sheetFormatPr defaultRowHeight="15.6" x14ac:dyDescent="0.3"/>
  <cols>
    <col min="1" max="1" width="56.88671875" style="7" bestFit="1" customWidth="1"/>
    <col min="2" max="8" width="8.88671875" style="7"/>
    <col min="9" max="9" width="38.5546875" style="7" bestFit="1" customWidth="1"/>
    <col min="10" max="10" width="8.88671875" style="7"/>
    <col min="11" max="11" width="17.33203125" style="7" customWidth="1"/>
    <col min="12" max="12" width="8.88671875" style="7"/>
  </cols>
  <sheetData>
    <row r="1" spans="1:12" x14ac:dyDescent="0.3">
      <c r="A1" s="7" t="s">
        <v>236</v>
      </c>
      <c r="C1" s="26" t="s">
        <v>0</v>
      </c>
      <c r="D1" s="26" t="s">
        <v>1</v>
      </c>
    </row>
    <row r="2" spans="1:12" x14ac:dyDescent="0.3">
      <c r="A2" s="7" t="s">
        <v>100</v>
      </c>
      <c r="C2" s="27">
        <v>1</v>
      </c>
      <c r="D2" s="27">
        <v>165</v>
      </c>
      <c r="F2" s="27">
        <v>101</v>
      </c>
      <c r="G2" s="27">
        <v>167</v>
      </c>
      <c r="I2" s="7" t="s">
        <v>126</v>
      </c>
      <c r="J2" s="7">
        <f>_xlfn.VAR.S(D2:D101)</f>
        <v>45.634242424242409</v>
      </c>
    </row>
    <row r="3" spans="1:12" x14ac:dyDescent="0.3">
      <c r="A3" s="7" t="s">
        <v>101</v>
      </c>
      <c r="C3" s="27">
        <v>2</v>
      </c>
      <c r="D3" s="27">
        <v>162</v>
      </c>
      <c r="F3" s="27">
        <v>102</v>
      </c>
      <c r="G3" s="27">
        <v>174</v>
      </c>
      <c r="I3" s="7" t="s">
        <v>127</v>
      </c>
      <c r="J3" s="7">
        <f>_xlfn.VAR.S(G2:G101)</f>
        <v>32.108585858585876</v>
      </c>
    </row>
    <row r="4" spans="1:12" x14ac:dyDescent="0.3">
      <c r="A4" s="7" t="s">
        <v>102</v>
      </c>
      <c r="C4" s="27">
        <v>3</v>
      </c>
      <c r="D4" s="27">
        <v>171</v>
      </c>
      <c r="F4" s="27">
        <v>103</v>
      </c>
      <c r="G4" s="27">
        <v>175</v>
      </c>
      <c r="K4" s="7" t="s">
        <v>229</v>
      </c>
    </row>
    <row r="5" spans="1:12" x14ac:dyDescent="0.3">
      <c r="C5" s="27">
        <v>4</v>
      </c>
      <c r="D5" s="27">
        <v>172</v>
      </c>
      <c r="F5" s="27">
        <v>104</v>
      </c>
      <c r="G5" s="27">
        <v>167</v>
      </c>
      <c r="I5" s="7" t="s">
        <v>128</v>
      </c>
      <c r="J5" s="7">
        <f>AVERAGE(D2:D101)</f>
        <v>169.61</v>
      </c>
      <c r="K5" s="7">
        <f>J5/J6</f>
        <v>1.0027194797516996</v>
      </c>
      <c r="L5" s="7" t="s">
        <v>231</v>
      </c>
    </row>
    <row r="6" spans="1:12" x14ac:dyDescent="0.3">
      <c r="A6" s="7" t="s">
        <v>125</v>
      </c>
      <c r="C6" s="27">
        <v>5</v>
      </c>
      <c r="D6" s="27">
        <v>171</v>
      </c>
      <c r="F6" s="27">
        <v>105</v>
      </c>
      <c r="G6" s="27">
        <v>180</v>
      </c>
      <c r="I6" s="7" t="s">
        <v>128</v>
      </c>
      <c r="J6" s="7">
        <f>AVERAGE(G2:G101)</f>
        <v>169.15</v>
      </c>
      <c r="K6" s="7">
        <f>_xlfn.F.INV.RT(0.05,100-1,100-1)</f>
        <v>1.3940612573481483</v>
      </c>
      <c r="L6" s="7" t="s">
        <v>232</v>
      </c>
    </row>
    <row r="7" spans="1:12" x14ac:dyDescent="0.3">
      <c r="C7" s="27">
        <v>6</v>
      </c>
      <c r="D7" s="27">
        <v>166</v>
      </c>
      <c r="F7" s="27">
        <v>106</v>
      </c>
      <c r="G7" s="27">
        <v>166</v>
      </c>
    </row>
    <row r="8" spans="1:12" x14ac:dyDescent="0.3">
      <c r="A8" s="8" t="s">
        <v>234</v>
      </c>
      <c r="C8" s="27">
        <v>7</v>
      </c>
      <c r="D8" s="27">
        <v>164</v>
      </c>
      <c r="F8" s="27">
        <v>107</v>
      </c>
      <c r="G8" s="27">
        <v>176</v>
      </c>
      <c r="K8" s="7" t="s">
        <v>230</v>
      </c>
    </row>
    <row r="9" spans="1:12" x14ac:dyDescent="0.3">
      <c r="A9" s="28"/>
      <c r="C9" s="27">
        <v>8</v>
      </c>
      <c r="D9" s="27">
        <v>164</v>
      </c>
      <c r="F9" s="27">
        <v>108</v>
      </c>
      <c r="G9" s="27">
        <v>174</v>
      </c>
      <c r="K9" s="7">
        <f>SQRT(100*1000/(100+100))*(J5-J6)/SQRT((99*J2+(99)*J3)/(100+100-1))</f>
        <v>1.6539470684982478</v>
      </c>
      <c r="L9" s="7" t="s">
        <v>233</v>
      </c>
    </row>
    <row r="10" spans="1:12" x14ac:dyDescent="0.3">
      <c r="C10" s="27">
        <v>9</v>
      </c>
      <c r="D10" s="27">
        <v>169</v>
      </c>
      <c r="F10" s="27">
        <v>109</v>
      </c>
      <c r="G10" s="27">
        <v>169</v>
      </c>
      <c r="K10" s="7">
        <f>_xlfn.T.INV.2T(0.05,100+100 - 2)</f>
        <v>1.9720174778363073</v>
      </c>
      <c r="L10" s="7" t="s">
        <v>232</v>
      </c>
    </row>
    <row r="11" spans="1:12" x14ac:dyDescent="0.3">
      <c r="C11" s="27">
        <v>10</v>
      </c>
      <c r="D11" s="27">
        <v>169</v>
      </c>
      <c r="F11" s="27">
        <v>110</v>
      </c>
      <c r="G11" s="27">
        <v>177</v>
      </c>
    </row>
    <row r="12" spans="1:12" x14ac:dyDescent="0.3">
      <c r="C12" s="27">
        <v>11</v>
      </c>
      <c r="D12" s="27">
        <v>163</v>
      </c>
      <c r="F12" s="27">
        <v>111</v>
      </c>
      <c r="G12" s="27">
        <v>167</v>
      </c>
    </row>
    <row r="13" spans="1:12" x14ac:dyDescent="0.3">
      <c r="C13" s="27">
        <v>12</v>
      </c>
      <c r="D13" s="27">
        <v>173</v>
      </c>
      <c r="F13" s="27">
        <v>112</v>
      </c>
      <c r="G13" s="27">
        <v>170</v>
      </c>
    </row>
    <row r="14" spans="1:12" x14ac:dyDescent="0.3">
      <c r="C14" s="27">
        <v>13</v>
      </c>
      <c r="D14" s="27">
        <v>176</v>
      </c>
      <c r="F14" s="27">
        <v>113</v>
      </c>
      <c r="G14" s="27">
        <v>158</v>
      </c>
      <c r="I14" s="28"/>
      <c r="L14" s="9"/>
    </row>
    <row r="15" spans="1:12" x14ac:dyDescent="0.3">
      <c r="C15" s="27">
        <v>14</v>
      </c>
      <c r="D15" s="27">
        <v>168</v>
      </c>
      <c r="F15" s="27">
        <v>114</v>
      </c>
      <c r="G15" s="27">
        <v>171</v>
      </c>
      <c r="I15" s="28"/>
    </row>
    <row r="16" spans="1:12" x14ac:dyDescent="0.3">
      <c r="C16" s="27">
        <v>15</v>
      </c>
      <c r="D16" s="27">
        <v>169</v>
      </c>
      <c r="F16" s="27">
        <v>115</v>
      </c>
      <c r="G16" s="27">
        <v>176</v>
      </c>
      <c r="I16" s="28"/>
    </row>
    <row r="17" spans="3:9" x14ac:dyDescent="0.3">
      <c r="C17" s="27">
        <v>16</v>
      </c>
      <c r="D17" s="27">
        <v>168</v>
      </c>
      <c r="F17" s="27">
        <v>116</v>
      </c>
      <c r="G17" s="27">
        <v>172</v>
      </c>
    </row>
    <row r="18" spans="3:9" x14ac:dyDescent="0.3">
      <c r="C18" s="27">
        <v>17</v>
      </c>
      <c r="D18" s="27">
        <v>166</v>
      </c>
      <c r="F18" s="27">
        <v>117</v>
      </c>
      <c r="G18" s="27">
        <v>165</v>
      </c>
    </row>
    <row r="19" spans="3:9" x14ac:dyDescent="0.3">
      <c r="C19" s="27">
        <v>18</v>
      </c>
      <c r="D19" s="27">
        <v>178</v>
      </c>
      <c r="F19" s="27">
        <v>118</v>
      </c>
      <c r="G19" s="27">
        <v>178</v>
      </c>
    </row>
    <row r="20" spans="3:9" x14ac:dyDescent="0.3">
      <c r="C20" s="27">
        <v>19</v>
      </c>
      <c r="D20" s="27">
        <v>165</v>
      </c>
      <c r="F20" s="27">
        <v>119</v>
      </c>
      <c r="G20" s="27">
        <v>157</v>
      </c>
    </row>
    <row r="21" spans="3:9" x14ac:dyDescent="0.3">
      <c r="C21" s="27">
        <v>20</v>
      </c>
      <c r="D21" s="27">
        <v>164</v>
      </c>
      <c r="F21" s="27">
        <v>120</v>
      </c>
      <c r="G21" s="27">
        <v>169</v>
      </c>
      <c r="I21" s="9"/>
    </row>
    <row r="22" spans="3:9" x14ac:dyDescent="0.3">
      <c r="C22" s="27">
        <v>21</v>
      </c>
      <c r="D22" s="27">
        <v>161</v>
      </c>
      <c r="F22" s="27">
        <v>121</v>
      </c>
      <c r="G22" s="27">
        <v>169</v>
      </c>
      <c r="I22" s="9"/>
    </row>
    <row r="23" spans="3:9" x14ac:dyDescent="0.3">
      <c r="C23" s="27">
        <v>22</v>
      </c>
      <c r="D23" s="27">
        <v>170</v>
      </c>
      <c r="F23" s="27">
        <v>122</v>
      </c>
      <c r="G23" s="27">
        <v>167</v>
      </c>
    </row>
    <row r="24" spans="3:9" x14ac:dyDescent="0.3">
      <c r="C24" s="27">
        <v>23</v>
      </c>
      <c r="D24" s="27">
        <v>164</v>
      </c>
      <c r="F24" s="27">
        <v>123</v>
      </c>
      <c r="G24" s="27">
        <v>177</v>
      </c>
    </row>
    <row r="25" spans="3:9" x14ac:dyDescent="0.3">
      <c r="C25" s="27">
        <v>24</v>
      </c>
      <c r="D25" s="27">
        <v>171</v>
      </c>
      <c r="F25" s="27">
        <v>124</v>
      </c>
      <c r="G25" s="27">
        <v>159</v>
      </c>
    </row>
    <row r="26" spans="3:9" x14ac:dyDescent="0.3">
      <c r="C26" s="27">
        <v>25</v>
      </c>
      <c r="D26" s="27">
        <v>171</v>
      </c>
      <c r="F26" s="27">
        <v>125</v>
      </c>
      <c r="G26" s="27">
        <v>172</v>
      </c>
    </row>
    <row r="27" spans="3:9" x14ac:dyDescent="0.3">
      <c r="C27" s="27">
        <v>26</v>
      </c>
      <c r="D27" s="27">
        <v>163</v>
      </c>
      <c r="F27" s="27">
        <v>126</v>
      </c>
      <c r="G27" s="27">
        <v>167</v>
      </c>
    </row>
    <row r="28" spans="3:9" x14ac:dyDescent="0.3">
      <c r="C28" s="27">
        <v>27</v>
      </c>
      <c r="D28" s="27">
        <v>167</v>
      </c>
      <c r="F28" s="27">
        <v>127</v>
      </c>
      <c r="G28" s="27">
        <v>164</v>
      </c>
    </row>
    <row r="29" spans="3:9" x14ac:dyDescent="0.3">
      <c r="C29" s="27">
        <v>28</v>
      </c>
      <c r="D29" s="27">
        <v>165</v>
      </c>
      <c r="F29" s="27">
        <v>128</v>
      </c>
      <c r="G29" s="27">
        <v>174</v>
      </c>
    </row>
    <row r="30" spans="3:9" x14ac:dyDescent="0.3">
      <c r="C30" s="27">
        <v>29</v>
      </c>
      <c r="D30" s="27">
        <v>175</v>
      </c>
      <c r="F30" s="27">
        <v>129</v>
      </c>
      <c r="G30" s="27">
        <v>176</v>
      </c>
    </row>
    <row r="31" spans="3:9" x14ac:dyDescent="0.3">
      <c r="C31" s="27">
        <v>30</v>
      </c>
      <c r="D31" s="27">
        <v>171</v>
      </c>
      <c r="F31" s="27">
        <v>130</v>
      </c>
      <c r="G31" s="27">
        <v>159</v>
      </c>
    </row>
    <row r="32" spans="3:9" x14ac:dyDescent="0.3">
      <c r="C32" s="27">
        <v>31</v>
      </c>
      <c r="D32" s="27">
        <v>174</v>
      </c>
      <c r="F32" s="27">
        <v>131</v>
      </c>
      <c r="G32" s="27">
        <v>169</v>
      </c>
    </row>
    <row r="33" spans="3:7" x14ac:dyDescent="0.3">
      <c r="C33" s="27">
        <v>32</v>
      </c>
      <c r="D33" s="27">
        <v>164</v>
      </c>
      <c r="F33" s="27">
        <v>132</v>
      </c>
      <c r="G33" s="27">
        <v>167</v>
      </c>
    </row>
    <row r="34" spans="3:7" x14ac:dyDescent="0.3">
      <c r="C34" s="27">
        <v>33</v>
      </c>
      <c r="D34" s="27">
        <v>166</v>
      </c>
      <c r="F34" s="27">
        <v>133</v>
      </c>
      <c r="G34" s="27">
        <v>157</v>
      </c>
    </row>
    <row r="35" spans="3:7" x14ac:dyDescent="0.3">
      <c r="C35" s="27">
        <v>34</v>
      </c>
      <c r="D35" s="27">
        <v>161</v>
      </c>
      <c r="F35" s="27">
        <v>134</v>
      </c>
      <c r="G35" s="27">
        <v>175</v>
      </c>
    </row>
    <row r="36" spans="3:7" x14ac:dyDescent="0.3">
      <c r="C36" s="27">
        <v>35</v>
      </c>
      <c r="D36" s="27">
        <v>169</v>
      </c>
      <c r="F36" s="27">
        <v>135</v>
      </c>
      <c r="G36" s="27">
        <v>165</v>
      </c>
    </row>
    <row r="37" spans="3:7" x14ac:dyDescent="0.3">
      <c r="C37" s="27">
        <v>36</v>
      </c>
      <c r="D37" s="27">
        <v>163</v>
      </c>
      <c r="F37" s="27">
        <v>136</v>
      </c>
      <c r="G37" s="27">
        <v>168</v>
      </c>
    </row>
    <row r="38" spans="3:7" x14ac:dyDescent="0.3">
      <c r="C38" s="27">
        <v>37</v>
      </c>
      <c r="D38" s="27">
        <v>168</v>
      </c>
      <c r="F38" s="27">
        <v>137</v>
      </c>
      <c r="G38" s="27">
        <v>172</v>
      </c>
    </row>
    <row r="39" spans="3:7" x14ac:dyDescent="0.3">
      <c r="C39" s="27">
        <v>38</v>
      </c>
      <c r="D39" s="27">
        <v>166</v>
      </c>
      <c r="F39" s="27">
        <v>138</v>
      </c>
      <c r="G39" s="27">
        <v>173</v>
      </c>
    </row>
    <row r="40" spans="3:7" x14ac:dyDescent="0.3">
      <c r="C40" s="27">
        <v>39</v>
      </c>
      <c r="D40" s="27">
        <v>172</v>
      </c>
      <c r="F40" s="27">
        <v>139</v>
      </c>
      <c r="G40" s="27">
        <v>167</v>
      </c>
    </row>
    <row r="41" spans="3:7" x14ac:dyDescent="0.3">
      <c r="C41" s="27">
        <v>40</v>
      </c>
      <c r="D41" s="27">
        <v>165</v>
      </c>
      <c r="F41" s="27">
        <v>140</v>
      </c>
      <c r="G41" s="27">
        <v>163</v>
      </c>
    </row>
    <row r="42" spans="3:7" x14ac:dyDescent="0.3">
      <c r="C42" s="27">
        <v>41</v>
      </c>
      <c r="D42" s="27">
        <v>166</v>
      </c>
      <c r="F42" s="27">
        <v>141</v>
      </c>
      <c r="G42" s="27">
        <v>166</v>
      </c>
    </row>
    <row r="43" spans="3:7" x14ac:dyDescent="0.3">
      <c r="C43" s="27">
        <v>42</v>
      </c>
      <c r="D43" s="27">
        <v>171</v>
      </c>
      <c r="F43" s="27">
        <v>142</v>
      </c>
      <c r="G43" s="27">
        <v>168</v>
      </c>
    </row>
    <row r="44" spans="3:7" x14ac:dyDescent="0.3">
      <c r="C44" s="27">
        <v>43</v>
      </c>
      <c r="D44" s="27">
        <v>161</v>
      </c>
      <c r="F44" s="27">
        <v>143</v>
      </c>
      <c r="G44" s="27">
        <v>169</v>
      </c>
    </row>
    <row r="45" spans="3:7" x14ac:dyDescent="0.3">
      <c r="C45" s="27">
        <v>44</v>
      </c>
      <c r="D45" s="27">
        <v>163</v>
      </c>
      <c r="F45" s="27">
        <v>144</v>
      </c>
      <c r="G45" s="27">
        <v>177</v>
      </c>
    </row>
    <row r="46" spans="3:7" x14ac:dyDescent="0.3">
      <c r="C46" s="27">
        <v>45</v>
      </c>
      <c r="D46" s="27">
        <v>165</v>
      </c>
      <c r="F46" s="27">
        <v>145</v>
      </c>
      <c r="G46" s="27">
        <v>170</v>
      </c>
    </row>
    <row r="47" spans="3:7" x14ac:dyDescent="0.3">
      <c r="C47" s="27">
        <v>46</v>
      </c>
      <c r="D47" s="27">
        <v>172</v>
      </c>
      <c r="F47" s="27">
        <v>146</v>
      </c>
      <c r="G47" s="27">
        <v>170</v>
      </c>
    </row>
    <row r="48" spans="3:7" x14ac:dyDescent="0.3">
      <c r="C48" s="27">
        <v>47</v>
      </c>
      <c r="D48" s="27">
        <v>167</v>
      </c>
      <c r="F48" s="27">
        <v>147</v>
      </c>
      <c r="G48" s="27">
        <v>176</v>
      </c>
    </row>
    <row r="49" spans="3:7" x14ac:dyDescent="0.3">
      <c r="C49" s="27">
        <v>48</v>
      </c>
      <c r="D49" s="27">
        <v>168</v>
      </c>
      <c r="F49" s="27">
        <v>148</v>
      </c>
      <c r="G49" s="27">
        <v>165</v>
      </c>
    </row>
    <row r="50" spans="3:7" x14ac:dyDescent="0.3">
      <c r="C50" s="27">
        <v>49</v>
      </c>
      <c r="D50" s="27">
        <v>157</v>
      </c>
      <c r="F50" s="27">
        <v>149</v>
      </c>
      <c r="G50" s="27">
        <v>182</v>
      </c>
    </row>
    <row r="51" spans="3:7" x14ac:dyDescent="0.3">
      <c r="C51" s="27">
        <v>50</v>
      </c>
      <c r="D51" s="27">
        <v>169</v>
      </c>
      <c r="F51" s="27">
        <v>150</v>
      </c>
      <c r="G51" s="27">
        <v>173</v>
      </c>
    </row>
    <row r="52" spans="3:7" x14ac:dyDescent="0.3">
      <c r="C52" s="27">
        <v>51</v>
      </c>
      <c r="D52" s="27">
        <v>178</v>
      </c>
      <c r="F52" s="27">
        <v>151</v>
      </c>
      <c r="G52" s="27">
        <v>166</v>
      </c>
    </row>
    <row r="53" spans="3:7" x14ac:dyDescent="0.3">
      <c r="C53" s="27">
        <v>52</v>
      </c>
      <c r="D53" s="27">
        <v>160</v>
      </c>
      <c r="F53" s="27">
        <v>152</v>
      </c>
      <c r="G53" s="27">
        <v>170</v>
      </c>
    </row>
    <row r="54" spans="3:7" x14ac:dyDescent="0.3">
      <c r="C54" s="27">
        <v>53</v>
      </c>
      <c r="D54" s="27">
        <v>175</v>
      </c>
      <c r="F54" s="27">
        <v>153</v>
      </c>
      <c r="G54" s="27">
        <v>166</v>
      </c>
    </row>
    <row r="55" spans="3:7" x14ac:dyDescent="0.3">
      <c r="C55" s="27">
        <v>54</v>
      </c>
      <c r="D55" s="27">
        <v>160</v>
      </c>
      <c r="F55" s="27">
        <v>154</v>
      </c>
      <c r="G55" s="27">
        <v>177</v>
      </c>
    </row>
    <row r="56" spans="3:7" x14ac:dyDescent="0.3">
      <c r="C56" s="27">
        <v>55</v>
      </c>
      <c r="D56" s="27">
        <v>170</v>
      </c>
      <c r="F56" s="27">
        <v>155</v>
      </c>
      <c r="G56" s="27">
        <v>172</v>
      </c>
    </row>
    <row r="57" spans="3:7" x14ac:dyDescent="0.3">
      <c r="C57" s="27">
        <v>56</v>
      </c>
      <c r="D57" s="27">
        <v>162</v>
      </c>
      <c r="F57" s="27">
        <v>156</v>
      </c>
      <c r="G57" s="27">
        <v>161</v>
      </c>
    </row>
    <row r="58" spans="3:7" x14ac:dyDescent="0.3">
      <c r="C58" s="27">
        <v>57</v>
      </c>
      <c r="D58" s="27">
        <v>171</v>
      </c>
      <c r="F58" s="27">
        <v>157</v>
      </c>
      <c r="G58" s="27">
        <v>172</v>
      </c>
    </row>
    <row r="59" spans="3:7" x14ac:dyDescent="0.3">
      <c r="C59" s="27">
        <v>58</v>
      </c>
      <c r="D59" s="27">
        <v>178</v>
      </c>
      <c r="F59" s="27">
        <v>158</v>
      </c>
      <c r="G59" s="27">
        <v>163</v>
      </c>
    </row>
    <row r="60" spans="3:7" x14ac:dyDescent="0.3">
      <c r="C60" s="27">
        <v>59</v>
      </c>
      <c r="D60" s="27">
        <v>173</v>
      </c>
      <c r="F60" s="27">
        <v>159</v>
      </c>
      <c r="G60" s="27">
        <v>176</v>
      </c>
    </row>
    <row r="61" spans="3:7" x14ac:dyDescent="0.3">
      <c r="C61" s="27">
        <v>60</v>
      </c>
      <c r="D61" s="27">
        <v>170</v>
      </c>
      <c r="F61" s="27">
        <v>160</v>
      </c>
      <c r="G61" s="27">
        <v>161</v>
      </c>
    </row>
    <row r="62" spans="3:7" x14ac:dyDescent="0.3">
      <c r="C62" s="27">
        <v>61</v>
      </c>
      <c r="D62" s="27">
        <v>171</v>
      </c>
      <c r="F62" s="27">
        <v>161</v>
      </c>
      <c r="G62" s="27">
        <v>161</v>
      </c>
    </row>
    <row r="63" spans="3:7" x14ac:dyDescent="0.3">
      <c r="C63" s="27">
        <v>62</v>
      </c>
      <c r="D63" s="27">
        <v>176</v>
      </c>
      <c r="F63" s="27">
        <v>162</v>
      </c>
      <c r="G63" s="27">
        <v>172</v>
      </c>
    </row>
    <row r="64" spans="3:7" x14ac:dyDescent="0.3">
      <c r="C64" s="27">
        <v>63</v>
      </c>
      <c r="D64" s="27">
        <v>156</v>
      </c>
      <c r="F64" s="27">
        <v>163</v>
      </c>
      <c r="G64" s="27">
        <v>167</v>
      </c>
    </row>
    <row r="65" spans="3:7" x14ac:dyDescent="0.3">
      <c r="C65" s="27">
        <v>64</v>
      </c>
      <c r="D65" s="27">
        <v>179</v>
      </c>
      <c r="F65" s="27">
        <v>164</v>
      </c>
      <c r="G65" s="27">
        <v>168</v>
      </c>
    </row>
    <row r="66" spans="3:7" x14ac:dyDescent="0.3">
      <c r="C66" s="27">
        <v>65</v>
      </c>
      <c r="D66" s="27">
        <v>173</v>
      </c>
      <c r="F66" s="27">
        <v>165</v>
      </c>
      <c r="G66" s="27">
        <v>161</v>
      </c>
    </row>
    <row r="67" spans="3:7" x14ac:dyDescent="0.3">
      <c r="C67" s="27">
        <v>66</v>
      </c>
      <c r="D67" s="27">
        <v>162</v>
      </c>
      <c r="F67" s="27">
        <v>166</v>
      </c>
      <c r="G67" s="27">
        <v>169</v>
      </c>
    </row>
    <row r="68" spans="3:7" x14ac:dyDescent="0.3">
      <c r="C68" s="27">
        <v>67</v>
      </c>
      <c r="D68" s="27">
        <v>172</v>
      </c>
      <c r="F68" s="27">
        <v>167</v>
      </c>
      <c r="G68" s="27">
        <v>168</v>
      </c>
    </row>
    <row r="69" spans="3:7" x14ac:dyDescent="0.3">
      <c r="C69" s="27">
        <v>68</v>
      </c>
      <c r="D69" s="27">
        <v>184</v>
      </c>
      <c r="F69" s="27">
        <v>168</v>
      </c>
      <c r="G69" s="27">
        <v>170</v>
      </c>
    </row>
    <row r="70" spans="3:7" x14ac:dyDescent="0.3">
      <c r="C70" s="27">
        <v>69</v>
      </c>
      <c r="D70" s="27">
        <v>166</v>
      </c>
      <c r="F70" s="27">
        <v>169</v>
      </c>
      <c r="G70" s="27">
        <v>166</v>
      </c>
    </row>
    <row r="71" spans="3:7" x14ac:dyDescent="0.3">
      <c r="C71" s="27">
        <v>70</v>
      </c>
      <c r="D71" s="27">
        <v>171</v>
      </c>
      <c r="F71" s="27">
        <v>170</v>
      </c>
      <c r="G71" s="27">
        <v>175</v>
      </c>
    </row>
    <row r="72" spans="3:7" x14ac:dyDescent="0.3">
      <c r="C72" s="27">
        <v>71</v>
      </c>
      <c r="D72" s="27">
        <v>182</v>
      </c>
      <c r="F72" s="27">
        <v>171</v>
      </c>
      <c r="G72" s="27">
        <v>180</v>
      </c>
    </row>
    <row r="73" spans="3:7" x14ac:dyDescent="0.3">
      <c r="C73" s="27">
        <v>72</v>
      </c>
      <c r="D73" s="27">
        <v>160</v>
      </c>
      <c r="F73" s="27">
        <v>172</v>
      </c>
      <c r="G73" s="27">
        <v>164</v>
      </c>
    </row>
    <row r="74" spans="3:7" x14ac:dyDescent="0.3">
      <c r="C74" s="27">
        <v>73</v>
      </c>
      <c r="D74" s="27">
        <v>164</v>
      </c>
      <c r="F74" s="27">
        <v>173</v>
      </c>
      <c r="G74" s="27">
        <v>161</v>
      </c>
    </row>
    <row r="75" spans="3:7" x14ac:dyDescent="0.3">
      <c r="C75" s="27">
        <v>74</v>
      </c>
      <c r="D75" s="27">
        <v>170</v>
      </c>
      <c r="F75" s="27">
        <v>174</v>
      </c>
      <c r="G75" s="27">
        <v>162</v>
      </c>
    </row>
    <row r="76" spans="3:7" x14ac:dyDescent="0.3">
      <c r="C76" s="27">
        <v>75</v>
      </c>
      <c r="D76" s="27">
        <v>164</v>
      </c>
      <c r="F76" s="27">
        <v>175</v>
      </c>
      <c r="G76" s="27">
        <v>171</v>
      </c>
    </row>
    <row r="77" spans="3:7" x14ac:dyDescent="0.3">
      <c r="C77" s="27">
        <v>76</v>
      </c>
      <c r="D77" s="27">
        <v>161</v>
      </c>
      <c r="F77" s="27">
        <v>176</v>
      </c>
      <c r="G77" s="27">
        <v>166</v>
      </c>
    </row>
    <row r="78" spans="3:7" x14ac:dyDescent="0.3">
      <c r="C78" s="27">
        <v>77</v>
      </c>
      <c r="D78" s="27">
        <v>173</v>
      </c>
      <c r="F78" s="27">
        <v>177</v>
      </c>
      <c r="G78" s="27">
        <v>179</v>
      </c>
    </row>
    <row r="79" spans="3:7" x14ac:dyDescent="0.3">
      <c r="C79" s="27">
        <v>78</v>
      </c>
      <c r="D79" s="27">
        <v>171</v>
      </c>
      <c r="F79" s="27">
        <v>178</v>
      </c>
      <c r="G79" s="27">
        <v>162</v>
      </c>
    </row>
    <row r="80" spans="3:7" x14ac:dyDescent="0.3">
      <c r="C80" s="27">
        <v>79</v>
      </c>
      <c r="D80" s="27">
        <v>186</v>
      </c>
      <c r="F80" s="27">
        <v>179</v>
      </c>
      <c r="G80" s="27">
        <v>167</v>
      </c>
    </row>
    <row r="81" spans="3:7" x14ac:dyDescent="0.3">
      <c r="C81" s="27">
        <v>80</v>
      </c>
      <c r="D81" s="27">
        <v>170</v>
      </c>
      <c r="F81" s="27">
        <v>180</v>
      </c>
      <c r="G81" s="27">
        <v>176</v>
      </c>
    </row>
    <row r="82" spans="3:7" x14ac:dyDescent="0.3">
      <c r="C82" s="27">
        <v>81</v>
      </c>
      <c r="D82" s="27">
        <v>179</v>
      </c>
      <c r="F82" s="27">
        <v>181</v>
      </c>
      <c r="G82" s="27">
        <v>163</v>
      </c>
    </row>
    <row r="83" spans="3:7" x14ac:dyDescent="0.3">
      <c r="C83" s="27">
        <v>82</v>
      </c>
      <c r="D83" s="27">
        <v>171</v>
      </c>
      <c r="F83" s="27">
        <v>182</v>
      </c>
      <c r="G83" s="27">
        <v>169</v>
      </c>
    </row>
    <row r="84" spans="3:7" x14ac:dyDescent="0.3">
      <c r="C84" s="27">
        <v>83</v>
      </c>
      <c r="D84" s="27">
        <v>172</v>
      </c>
      <c r="F84" s="27">
        <v>183</v>
      </c>
      <c r="G84" s="27">
        <v>174</v>
      </c>
    </row>
    <row r="85" spans="3:7" x14ac:dyDescent="0.3">
      <c r="C85" s="27">
        <v>84</v>
      </c>
      <c r="D85" s="27">
        <v>179</v>
      </c>
      <c r="F85" s="27">
        <v>184</v>
      </c>
      <c r="G85" s="27">
        <v>167</v>
      </c>
    </row>
    <row r="86" spans="3:7" x14ac:dyDescent="0.3">
      <c r="C86" s="27">
        <v>85</v>
      </c>
      <c r="D86" s="27">
        <v>172</v>
      </c>
      <c r="F86" s="27">
        <v>185</v>
      </c>
      <c r="G86" s="27">
        <v>179</v>
      </c>
    </row>
    <row r="87" spans="3:7" x14ac:dyDescent="0.3">
      <c r="C87" s="27">
        <v>86</v>
      </c>
      <c r="D87" s="27">
        <v>196</v>
      </c>
      <c r="F87" s="27">
        <v>186</v>
      </c>
      <c r="G87" s="27">
        <v>173</v>
      </c>
    </row>
    <row r="88" spans="3:7" x14ac:dyDescent="0.3">
      <c r="C88" s="27">
        <v>87</v>
      </c>
      <c r="D88" s="27">
        <v>160</v>
      </c>
      <c r="F88" s="27">
        <v>187</v>
      </c>
      <c r="G88" s="27">
        <v>172</v>
      </c>
    </row>
    <row r="89" spans="3:7" x14ac:dyDescent="0.3">
      <c r="C89" s="27">
        <v>88</v>
      </c>
      <c r="D89" s="27">
        <v>169</v>
      </c>
      <c r="F89" s="27">
        <v>188</v>
      </c>
      <c r="G89" s="27">
        <v>171</v>
      </c>
    </row>
    <row r="90" spans="3:7" x14ac:dyDescent="0.3">
      <c r="C90" s="27">
        <v>89</v>
      </c>
      <c r="D90" s="27">
        <v>190</v>
      </c>
      <c r="F90" s="27">
        <v>189</v>
      </c>
      <c r="G90" s="27">
        <v>171</v>
      </c>
    </row>
    <row r="91" spans="3:7" x14ac:dyDescent="0.3">
      <c r="C91" s="27">
        <v>90</v>
      </c>
      <c r="D91" s="27">
        <v>169</v>
      </c>
      <c r="F91" s="27">
        <v>190</v>
      </c>
      <c r="G91" s="27">
        <v>171</v>
      </c>
    </row>
    <row r="92" spans="3:7" x14ac:dyDescent="0.3">
      <c r="C92" s="27">
        <v>91</v>
      </c>
      <c r="D92" s="27">
        <v>178</v>
      </c>
      <c r="F92" s="27">
        <v>191</v>
      </c>
      <c r="G92" s="27">
        <v>163</v>
      </c>
    </row>
    <row r="93" spans="3:7" x14ac:dyDescent="0.3">
      <c r="C93" s="27">
        <v>92</v>
      </c>
      <c r="D93" s="27">
        <v>171</v>
      </c>
      <c r="F93" s="27">
        <v>192</v>
      </c>
      <c r="G93" s="27">
        <v>168</v>
      </c>
    </row>
    <row r="94" spans="3:7" x14ac:dyDescent="0.3">
      <c r="C94" s="27">
        <v>93</v>
      </c>
      <c r="D94" s="27">
        <v>171</v>
      </c>
      <c r="F94" s="27">
        <v>193</v>
      </c>
      <c r="G94" s="27">
        <v>164</v>
      </c>
    </row>
    <row r="95" spans="3:7" x14ac:dyDescent="0.3">
      <c r="C95" s="27">
        <v>94</v>
      </c>
      <c r="D95" s="27">
        <v>177</v>
      </c>
      <c r="F95" s="27">
        <v>194</v>
      </c>
      <c r="G95" s="27">
        <v>167</v>
      </c>
    </row>
    <row r="96" spans="3:7" x14ac:dyDescent="0.3">
      <c r="C96" s="27">
        <v>95</v>
      </c>
      <c r="D96" s="27">
        <v>178</v>
      </c>
      <c r="F96" s="27">
        <v>195</v>
      </c>
      <c r="G96" s="27">
        <v>171</v>
      </c>
    </row>
    <row r="97" spans="3:7" x14ac:dyDescent="0.3">
      <c r="C97" s="27">
        <v>96</v>
      </c>
      <c r="D97" s="27">
        <v>175</v>
      </c>
      <c r="F97" s="27">
        <v>196</v>
      </c>
      <c r="G97" s="27">
        <v>165</v>
      </c>
    </row>
    <row r="98" spans="3:7" x14ac:dyDescent="0.3">
      <c r="C98" s="27">
        <v>97</v>
      </c>
      <c r="D98" s="27">
        <v>168</v>
      </c>
      <c r="F98" s="27">
        <v>197</v>
      </c>
      <c r="G98" s="27">
        <v>164</v>
      </c>
    </row>
    <row r="99" spans="3:7" x14ac:dyDescent="0.3">
      <c r="C99" s="27">
        <v>98</v>
      </c>
      <c r="D99" s="27">
        <v>167</v>
      </c>
      <c r="F99" s="27">
        <v>198</v>
      </c>
      <c r="G99" s="27">
        <v>180</v>
      </c>
    </row>
    <row r="100" spans="3:7" x14ac:dyDescent="0.3">
      <c r="C100" s="27">
        <v>99</v>
      </c>
      <c r="D100" s="27">
        <v>170</v>
      </c>
      <c r="F100" s="27">
        <v>199</v>
      </c>
      <c r="G100" s="27">
        <v>165</v>
      </c>
    </row>
    <row r="101" spans="3:7" x14ac:dyDescent="0.3">
      <c r="C101" s="27">
        <v>100</v>
      </c>
      <c r="D101" s="27">
        <v>173</v>
      </c>
      <c r="F101" s="27">
        <v>200</v>
      </c>
      <c r="G101" s="27">
        <v>165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A091-C992-4FDD-807D-EFD48D5C3664}">
  <dimension ref="A1:D200"/>
  <sheetViews>
    <sheetView workbookViewId="0">
      <selection sqref="A1:A7"/>
    </sheetView>
  </sheetViews>
  <sheetFormatPr defaultRowHeight="14.4" x14ac:dyDescent="0.3"/>
  <cols>
    <col min="1" max="1" width="43.33203125" customWidth="1"/>
  </cols>
  <sheetData>
    <row r="1" spans="1:4" ht="15.6" x14ac:dyDescent="0.3">
      <c r="A1" s="7" t="s">
        <v>22</v>
      </c>
      <c r="C1" s="2">
        <v>165</v>
      </c>
      <c r="D1" s="2">
        <v>67</v>
      </c>
    </row>
    <row r="2" spans="1:4" ht="15.6" x14ac:dyDescent="0.3">
      <c r="A2" s="7"/>
      <c r="C2" s="2">
        <v>162</v>
      </c>
      <c r="D2" s="2">
        <v>60</v>
      </c>
    </row>
    <row r="3" spans="1:4" ht="15.6" x14ac:dyDescent="0.3">
      <c r="A3" s="7"/>
      <c r="C3" s="2">
        <v>171</v>
      </c>
      <c r="D3" s="2">
        <v>60</v>
      </c>
    </row>
    <row r="4" spans="1:4" ht="15.6" x14ac:dyDescent="0.3">
      <c r="A4" s="7"/>
      <c r="C4" s="2">
        <v>172</v>
      </c>
      <c r="D4" s="2">
        <v>72</v>
      </c>
    </row>
    <row r="5" spans="1:4" ht="15.6" x14ac:dyDescent="0.3">
      <c r="A5" s="8" t="s">
        <v>118</v>
      </c>
      <c r="C5" s="2">
        <v>171</v>
      </c>
      <c r="D5" s="2">
        <v>65</v>
      </c>
    </row>
    <row r="6" spans="1:4" ht="15.6" x14ac:dyDescent="0.3">
      <c r="A6" s="8" t="s">
        <v>119</v>
      </c>
      <c r="C6" s="2">
        <v>166</v>
      </c>
      <c r="D6" s="2">
        <v>62</v>
      </c>
    </row>
    <row r="7" spans="1:4" ht="15.6" x14ac:dyDescent="0.3">
      <c r="A7" s="8" t="s">
        <v>120</v>
      </c>
      <c r="C7" s="2">
        <v>164</v>
      </c>
      <c r="D7" s="2">
        <v>56</v>
      </c>
    </row>
    <row r="8" spans="1:4" x14ac:dyDescent="0.3">
      <c r="C8" s="2">
        <v>164</v>
      </c>
      <c r="D8" s="2">
        <v>63</v>
      </c>
    </row>
    <row r="9" spans="1:4" x14ac:dyDescent="0.3">
      <c r="C9" s="2">
        <v>169</v>
      </c>
      <c r="D9" s="2">
        <v>65</v>
      </c>
    </row>
    <row r="10" spans="1:4" x14ac:dyDescent="0.3">
      <c r="C10" s="2">
        <v>169</v>
      </c>
      <c r="D10" s="2">
        <v>75</v>
      </c>
    </row>
    <row r="11" spans="1:4" x14ac:dyDescent="0.3">
      <c r="C11" s="2">
        <v>163</v>
      </c>
      <c r="D11" s="2">
        <v>54</v>
      </c>
    </row>
    <row r="12" spans="1:4" x14ac:dyDescent="0.3">
      <c r="C12" s="2">
        <v>173</v>
      </c>
      <c r="D12" s="2">
        <v>75</v>
      </c>
    </row>
    <row r="13" spans="1:4" x14ac:dyDescent="0.3">
      <c r="C13" s="2">
        <v>176</v>
      </c>
      <c r="D13" s="2">
        <v>67</v>
      </c>
    </row>
    <row r="14" spans="1:4" x14ac:dyDescent="0.3">
      <c r="C14" s="2">
        <v>168</v>
      </c>
      <c r="D14" s="2">
        <v>55</v>
      </c>
    </row>
    <row r="15" spans="1:4" x14ac:dyDescent="0.3">
      <c r="C15" s="2">
        <v>169</v>
      </c>
      <c r="D15" s="2">
        <v>66</v>
      </c>
    </row>
    <row r="16" spans="1:4" x14ac:dyDescent="0.3">
      <c r="C16" s="2">
        <v>168</v>
      </c>
      <c r="D16" s="2">
        <v>67</v>
      </c>
    </row>
    <row r="17" spans="3:4" x14ac:dyDescent="0.3">
      <c r="C17" s="2">
        <v>166</v>
      </c>
      <c r="D17" s="2">
        <v>64</v>
      </c>
    </row>
    <row r="18" spans="3:4" x14ac:dyDescent="0.3">
      <c r="C18" s="2">
        <v>178</v>
      </c>
      <c r="D18" s="2">
        <v>80</v>
      </c>
    </row>
    <row r="19" spans="3:4" x14ac:dyDescent="0.3">
      <c r="C19" s="2">
        <v>165</v>
      </c>
      <c r="D19" s="2">
        <v>62</v>
      </c>
    </row>
    <row r="20" spans="3:4" x14ac:dyDescent="0.3">
      <c r="C20" s="2">
        <v>164</v>
      </c>
      <c r="D20" s="2">
        <v>62</v>
      </c>
    </row>
    <row r="21" spans="3:4" x14ac:dyDescent="0.3">
      <c r="C21" s="2">
        <v>161</v>
      </c>
      <c r="D21" s="2">
        <v>51</v>
      </c>
    </row>
    <row r="22" spans="3:4" x14ac:dyDescent="0.3">
      <c r="C22" s="2">
        <v>170</v>
      </c>
      <c r="D22" s="2">
        <v>66</v>
      </c>
    </row>
    <row r="23" spans="3:4" x14ac:dyDescent="0.3">
      <c r="C23" s="2">
        <v>164</v>
      </c>
      <c r="D23" s="2">
        <v>53</v>
      </c>
    </row>
    <row r="24" spans="3:4" x14ac:dyDescent="0.3">
      <c r="C24" s="2">
        <v>171</v>
      </c>
      <c r="D24" s="2">
        <v>62</v>
      </c>
    </row>
    <row r="25" spans="3:4" x14ac:dyDescent="0.3">
      <c r="C25" s="2">
        <v>171</v>
      </c>
      <c r="D25" s="2">
        <v>67</v>
      </c>
    </row>
    <row r="26" spans="3:4" x14ac:dyDescent="0.3">
      <c r="C26" s="2">
        <v>163</v>
      </c>
      <c r="D26" s="2">
        <v>63</v>
      </c>
    </row>
    <row r="27" spans="3:4" x14ac:dyDescent="0.3">
      <c r="C27" s="2">
        <v>167</v>
      </c>
      <c r="D27" s="2">
        <v>64</v>
      </c>
    </row>
    <row r="28" spans="3:4" x14ac:dyDescent="0.3">
      <c r="C28" s="2">
        <v>165</v>
      </c>
      <c r="D28" s="2">
        <v>63</v>
      </c>
    </row>
    <row r="29" spans="3:4" x14ac:dyDescent="0.3">
      <c r="C29" s="2">
        <v>175</v>
      </c>
      <c r="D29" s="2">
        <v>66</v>
      </c>
    </row>
    <row r="30" spans="3:4" x14ac:dyDescent="0.3">
      <c r="C30" s="2">
        <v>171</v>
      </c>
      <c r="D30" s="2">
        <v>66</v>
      </c>
    </row>
    <row r="31" spans="3:4" x14ac:dyDescent="0.3">
      <c r="C31" s="2">
        <v>174</v>
      </c>
      <c r="D31" s="2">
        <v>67</v>
      </c>
    </row>
    <row r="32" spans="3:4" x14ac:dyDescent="0.3">
      <c r="C32" s="2">
        <v>164</v>
      </c>
      <c r="D32" s="2">
        <v>59</v>
      </c>
    </row>
    <row r="33" spans="3:4" x14ac:dyDescent="0.3">
      <c r="C33" s="2">
        <v>166</v>
      </c>
      <c r="D33" s="2">
        <v>78</v>
      </c>
    </row>
    <row r="34" spans="3:4" x14ac:dyDescent="0.3">
      <c r="C34" s="2">
        <v>161</v>
      </c>
      <c r="D34" s="2">
        <v>55</v>
      </c>
    </row>
    <row r="35" spans="3:4" x14ac:dyDescent="0.3">
      <c r="C35" s="2">
        <v>169</v>
      </c>
      <c r="D35" s="2">
        <v>64</v>
      </c>
    </row>
    <row r="36" spans="3:4" x14ac:dyDescent="0.3">
      <c r="C36" s="2">
        <v>163</v>
      </c>
      <c r="D36" s="2">
        <v>64</v>
      </c>
    </row>
    <row r="37" spans="3:4" x14ac:dyDescent="0.3">
      <c r="C37" s="2">
        <v>168</v>
      </c>
      <c r="D37" s="2">
        <v>58</v>
      </c>
    </row>
    <row r="38" spans="3:4" x14ac:dyDescent="0.3">
      <c r="C38" s="2">
        <v>166</v>
      </c>
      <c r="D38" s="2">
        <v>63</v>
      </c>
    </row>
    <row r="39" spans="3:4" x14ac:dyDescent="0.3">
      <c r="C39" s="2">
        <v>172</v>
      </c>
      <c r="D39" s="2">
        <v>69</v>
      </c>
    </row>
    <row r="40" spans="3:4" x14ac:dyDescent="0.3">
      <c r="C40" s="2">
        <v>165</v>
      </c>
      <c r="D40" s="2">
        <v>76</v>
      </c>
    </row>
    <row r="41" spans="3:4" x14ac:dyDescent="0.3">
      <c r="C41" s="2">
        <v>166</v>
      </c>
      <c r="D41" s="2">
        <v>71</v>
      </c>
    </row>
    <row r="42" spans="3:4" x14ac:dyDescent="0.3">
      <c r="C42" s="2">
        <v>171</v>
      </c>
      <c r="D42" s="2">
        <v>75</v>
      </c>
    </row>
    <row r="43" spans="3:4" x14ac:dyDescent="0.3">
      <c r="C43" s="2">
        <v>161</v>
      </c>
      <c r="D43" s="2">
        <v>56</v>
      </c>
    </row>
    <row r="44" spans="3:4" x14ac:dyDescent="0.3">
      <c r="C44" s="2">
        <v>163</v>
      </c>
      <c r="D44" s="2">
        <v>58</v>
      </c>
    </row>
    <row r="45" spans="3:4" x14ac:dyDescent="0.3">
      <c r="C45" s="2">
        <v>165</v>
      </c>
      <c r="D45" s="2">
        <v>72</v>
      </c>
    </row>
    <row r="46" spans="3:4" x14ac:dyDescent="0.3">
      <c r="C46" s="2">
        <v>172</v>
      </c>
      <c r="D46" s="2">
        <v>66</v>
      </c>
    </row>
    <row r="47" spans="3:4" x14ac:dyDescent="0.3">
      <c r="C47" s="2">
        <v>167</v>
      </c>
      <c r="D47" s="2">
        <v>57</v>
      </c>
    </row>
    <row r="48" spans="3:4" x14ac:dyDescent="0.3">
      <c r="C48" s="2">
        <v>168</v>
      </c>
      <c r="D48" s="2">
        <v>66</v>
      </c>
    </row>
    <row r="49" spans="3:4" x14ac:dyDescent="0.3">
      <c r="C49" s="2">
        <v>157</v>
      </c>
      <c r="D49" s="2">
        <v>60</v>
      </c>
    </row>
    <row r="50" spans="3:4" x14ac:dyDescent="0.3">
      <c r="C50" s="2">
        <v>169</v>
      </c>
      <c r="D50" s="2">
        <v>71</v>
      </c>
    </row>
    <row r="51" spans="3:4" x14ac:dyDescent="0.3">
      <c r="C51" s="2">
        <v>178</v>
      </c>
      <c r="D51" s="2">
        <v>73</v>
      </c>
    </row>
    <row r="52" spans="3:4" x14ac:dyDescent="0.3">
      <c r="C52" s="2">
        <v>160</v>
      </c>
      <c r="D52" s="2">
        <v>62</v>
      </c>
    </row>
    <row r="53" spans="3:4" x14ac:dyDescent="0.3">
      <c r="C53" s="2">
        <v>175</v>
      </c>
      <c r="D53" s="2">
        <v>64</v>
      </c>
    </row>
    <row r="54" spans="3:4" x14ac:dyDescent="0.3">
      <c r="C54" s="2">
        <v>160</v>
      </c>
      <c r="D54" s="2">
        <v>59</v>
      </c>
    </row>
    <row r="55" spans="3:4" x14ac:dyDescent="0.3">
      <c r="C55" s="2">
        <v>170</v>
      </c>
      <c r="D55" s="2">
        <v>62</v>
      </c>
    </row>
    <row r="56" spans="3:4" x14ac:dyDescent="0.3">
      <c r="C56" s="2">
        <v>162</v>
      </c>
      <c r="D56" s="2">
        <v>60</v>
      </c>
    </row>
    <row r="57" spans="3:4" x14ac:dyDescent="0.3">
      <c r="C57" s="2">
        <v>171</v>
      </c>
      <c r="D57" s="2">
        <v>70</v>
      </c>
    </row>
    <row r="58" spans="3:4" x14ac:dyDescent="0.3">
      <c r="C58" s="2">
        <v>178</v>
      </c>
      <c r="D58" s="2">
        <v>71</v>
      </c>
    </row>
    <row r="59" spans="3:4" x14ac:dyDescent="0.3">
      <c r="C59" s="2">
        <v>173</v>
      </c>
      <c r="D59" s="2">
        <v>71</v>
      </c>
    </row>
    <row r="60" spans="3:4" x14ac:dyDescent="0.3">
      <c r="C60" s="2">
        <v>170</v>
      </c>
      <c r="D60" s="2">
        <v>61</v>
      </c>
    </row>
    <row r="61" spans="3:4" x14ac:dyDescent="0.3">
      <c r="C61" s="2">
        <v>171</v>
      </c>
      <c r="D61" s="2">
        <v>76</v>
      </c>
    </row>
    <row r="62" spans="3:4" x14ac:dyDescent="0.3">
      <c r="C62" s="2">
        <v>176</v>
      </c>
      <c r="D62" s="2">
        <v>70</v>
      </c>
    </row>
    <row r="63" spans="3:4" x14ac:dyDescent="0.3">
      <c r="C63" s="2">
        <v>156</v>
      </c>
      <c r="D63" s="2">
        <v>54</v>
      </c>
    </row>
    <row r="64" spans="3:4" x14ac:dyDescent="0.3">
      <c r="C64" s="2">
        <v>179</v>
      </c>
      <c r="D64" s="2">
        <v>77</v>
      </c>
    </row>
    <row r="65" spans="3:4" x14ac:dyDescent="0.3">
      <c r="C65" s="2">
        <v>173</v>
      </c>
      <c r="D65" s="2">
        <v>71</v>
      </c>
    </row>
    <row r="66" spans="3:4" x14ac:dyDescent="0.3">
      <c r="C66" s="2">
        <v>162</v>
      </c>
      <c r="D66" s="2">
        <v>58</v>
      </c>
    </row>
    <row r="67" spans="3:4" x14ac:dyDescent="0.3">
      <c r="C67" s="2">
        <v>172</v>
      </c>
      <c r="D67" s="2">
        <v>67</v>
      </c>
    </row>
    <row r="68" spans="3:4" x14ac:dyDescent="0.3">
      <c r="C68" s="2">
        <v>184</v>
      </c>
      <c r="D68" s="2">
        <v>68</v>
      </c>
    </row>
    <row r="69" spans="3:4" x14ac:dyDescent="0.3">
      <c r="C69" s="2">
        <v>166</v>
      </c>
      <c r="D69" s="2">
        <v>51</v>
      </c>
    </row>
    <row r="70" spans="3:4" x14ac:dyDescent="0.3">
      <c r="C70" s="2">
        <v>171</v>
      </c>
      <c r="D70" s="2">
        <v>65</v>
      </c>
    </row>
    <row r="71" spans="3:4" x14ac:dyDescent="0.3">
      <c r="C71" s="2">
        <v>182</v>
      </c>
      <c r="D71" s="2">
        <v>76</v>
      </c>
    </row>
    <row r="72" spans="3:4" x14ac:dyDescent="0.3">
      <c r="C72" s="2">
        <v>160</v>
      </c>
      <c r="D72" s="2">
        <v>50</v>
      </c>
    </row>
    <row r="73" spans="3:4" x14ac:dyDescent="0.3">
      <c r="C73" s="2">
        <v>164</v>
      </c>
      <c r="D73" s="2">
        <v>61</v>
      </c>
    </row>
    <row r="74" spans="3:4" x14ac:dyDescent="0.3">
      <c r="C74" s="2">
        <v>170</v>
      </c>
      <c r="D74" s="2">
        <v>61</v>
      </c>
    </row>
    <row r="75" spans="3:4" x14ac:dyDescent="0.3">
      <c r="C75" s="2">
        <v>164</v>
      </c>
      <c r="D75" s="2">
        <v>59</v>
      </c>
    </row>
    <row r="76" spans="3:4" x14ac:dyDescent="0.3">
      <c r="C76" s="2">
        <v>161</v>
      </c>
      <c r="D76" s="2">
        <v>61</v>
      </c>
    </row>
    <row r="77" spans="3:4" x14ac:dyDescent="0.3">
      <c r="C77" s="2">
        <v>173</v>
      </c>
      <c r="D77" s="2">
        <v>77</v>
      </c>
    </row>
    <row r="78" spans="3:4" x14ac:dyDescent="0.3">
      <c r="C78" s="2">
        <v>171</v>
      </c>
      <c r="D78" s="2">
        <v>60</v>
      </c>
    </row>
    <row r="79" spans="3:4" x14ac:dyDescent="0.3">
      <c r="C79" s="2">
        <v>186</v>
      </c>
      <c r="D79" s="2">
        <v>71</v>
      </c>
    </row>
    <row r="80" spans="3:4" x14ac:dyDescent="0.3">
      <c r="C80" s="2">
        <v>170</v>
      </c>
      <c r="D80" s="2">
        <v>68</v>
      </c>
    </row>
    <row r="81" spans="3:4" x14ac:dyDescent="0.3">
      <c r="C81" s="2">
        <v>179</v>
      </c>
      <c r="D81" s="2">
        <v>69</v>
      </c>
    </row>
    <row r="82" spans="3:4" x14ac:dyDescent="0.3">
      <c r="C82" s="2">
        <v>171</v>
      </c>
      <c r="D82" s="2">
        <v>64</v>
      </c>
    </row>
    <row r="83" spans="3:4" x14ac:dyDescent="0.3">
      <c r="C83" s="2">
        <v>172</v>
      </c>
      <c r="D83" s="2">
        <v>78</v>
      </c>
    </row>
    <row r="84" spans="3:4" x14ac:dyDescent="0.3">
      <c r="C84" s="2">
        <v>179</v>
      </c>
      <c r="D84" s="2">
        <v>77</v>
      </c>
    </row>
    <row r="85" spans="3:4" x14ac:dyDescent="0.3">
      <c r="C85" s="2">
        <v>172</v>
      </c>
      <c r="D85" s="2">
        <v>67</v>
      </c>
    </row>
    <row r="86" spans="3:4" x14ac:dyDescent="0.3">
      <c r="C86" s="2">
        <v>196</v>
      </c>
      <c r="D86" s="2">
        <v>60</v>
      </c>
    </row>
    <row r="87" spans="3:4" x14ac:dyDescent="0.3">
      <c r="C87" s="2">
        <v>160</v>
      </c>
      <c r="D87" s="2">
        <v>57</v>
      </c>
    </row>
    <row r="88" spans="3:4" x14ac:dyDescent="0.3">
      <c r="C88" s="2">
        <v>169</v>
      </c>
      <c r="D88" s="2">
        <v>68</v>
      </c>
    </row>
    <row r="89" spans="3:4" x14ac:dyDescent="0.3">
      <c r="C89" s="2">
        <v>190</v>
      </c>
      <c r="D89" s="2">
        <v>80</v>
      </c>
    </row>
    <row r="90" spans="3:4" x14ac:dyDescent="0.3">
      <c r="C90" s="2">
        <v>169</v>
      </c>
      <c r="D90" s="2">
        <v>74</v>
      </c>
    </row>
    <row r="91" spans="3:4" x14ac:dyDescent="0.3">
      <c r="C91" s="2">
        <v>178</v>
      </c>
      <c r="D91" s="2">
        <v>66</v>
      </c>
    </row>
    <row r="92" spans="3:4" x14ac:dyDescent="0.3">
      <c r="C92" s="2">
        <v>171</v>
      </c>
      <c r="D92" s="2">
        <v>75</v>
      </c>
    </row>
    <row r="93" spans="3:4" x14ac:dyDescent="0.3">
      <c r="C93" s="2">
        <v>171</v>
      </c>
      <c r="D93" s="2">
        <v>66</v>
      </c>
    </row>
    <row r="94" spans="3:4" x14ac:dyDescent="0.3">
      <c r="C94" s="2">
        <v>177</v>
      </c>
      <c r="D94" s="2">
        <v>67</v>
      </c>
    </row>
    <row r="95" spans="3:4" x14ac:dyDescent="0.3">
      <c r="C95" s="2">
        <v>178</v>
      </c>
      <c r="D95" s="2">
        <v>66</v>
      </c>
    </row>
    <row r="96" spans="3:4" x14ac:dyDescent="0.3">
      <c r="C96" s="2">
        <v>175</v>
      </c>
      <c r="D96" s="2">
        <v>80</v>
      </c>
    </row>
    <row r="97" spans="3:4" x14ac:dyDescent="0.3">
      <c r="C97" s="2">
        <v>168</v>
      </c>
      <c r="D97" s="2">
        <v>62</v>
      </c>
    </row>
    <row r="98" spans="3:4" x14ac:dyDescent="0.3">
      <c r="C98" s="2">
        <v>167</v>
      </c>
      <c r="D98" s="2">
        <v>64</v>
      </c>
    </row>
    <row r="99" spans="3:4" x14ac:dyDescent="0.3">
      <c r="C99" s="2">
        <v>170</v>
      </c>
      <c r="D99" s="2">
        <v>67</v>
      </c>
    </row>
    <row r="100" spans="3:4" x14ac:dyDescent="0.3">
      <c r="C100" s="2">
        <v>173</v>
      </c>
      <c r="D100" s="2">
        <v>64</v>
      </c>
    </row>
    <row r="101" spans="3:4" x14ac:dyDescent="0.3">
      <c r="C101" s="2">
        <v>167</v>
      </c>
      <c r="D101" s="2">
        <v>61</v>
      </c>
    </row>
    <row r="102" spans="3:4" x14ac:dyDescent="0.3">
      <c r="C102" s="2">
        <v>174</v>
      </c>
      <c r="D102" s="2">
        <v>66</v>
      </c>
    </row>
    <row r="103" spans="3:4" x14ac:dyDescent="0.3">
      <c r="C103" s="2">
        <v>175</v>
      </c>
      <c r="D103" s="2">
        <v>80</v>
      </c>
    </row>
    <row r="104" spans="3:4" x14ac:dyDescent="0.3">
      <c r="C104" s="2">
        <v>167</v>
      </c>
      <c r="D104" s="2">
        <v>64</v>
      </c>
    </row>
    <row r="105" spans="3:4" x14ac:dyDescent="0.3">
      <c r="C105" s="2">
        <v>180</v>
      </c>
      <c r="D105" s="2">
        <v>75</v>
      </c>
    </row>
    <row r="106" spans="3:4" x14ac:dyDescent="0.3">
      <c r="C106" s="2">
        <v>166</v>
      </c>
      <c r="D106" s="2">
        <v>63</v>
      </c>
    </row>
    <row r="107" spans="3:4" x14ac:dyDescent="0.3">
      <c r="C107" s="2">
        <v>176</v>
      </c>
      <c r="D107" s="2">
        <v>71</v>
      </c>
    </row>
    <row r="108" spans="3:4" x14ac:dyDescent="0.3">
      <c r="C108" s="2">
        <v>174</v>
      </c>
      <c r="D108" s="2">
        <v>69</v>
      </c>
    </row>
    <row r="109" spans="3:4" x14ac:dyDescent="0.3">
      <c r="C109" s="2">
        <v>169</v>
      </c>
      <c r="D109" s="2">
        <v>71</v>
      </c>
    </row>
    <row r="110" spans="3:4" x14ac:dyDescent="0.3">
      <c r="C110" s="2">
        <v>177</v>
      </c>
      <c r="D110" s="2">
        <v>78</v>
      </c>
    </row>
    <row r="111" spans="3:4" x14ac:dyDescent="0.3">
      <c r="C111" s="2">
        <v>167</v>
      </c>
      <c r="D111" s="2">
        <v>65</v>
      </c>
    </row>
    <row r="112" spans="3:4" x14ac:dyDescent="0.3">
      <c r="C112" s="2">
        <v>170</v>
      </c>
      <c r="D112" s="2">
        <v>69</v>
      </c>
    </row>
    <row r="113" spans="3:4" x14ac:dyDescent="0.3">
      <c r="C113" s="2">
        <v>158</v>
      </c>
      <c r="D113" s="2">
        <v>61</v>
      </c>
    </row>
    <row r="114" spans="3:4" x14ac:dyDescent="0.3">
      <c r="C114" s="2">
        <v>171</v>
      </c>
      <c r="D114" s="2">
        <v>62</v>
      </c>
    </row>
    <row r="115" spans="3:4" x14ac:dyDescent="0.3">
      <c r="C115" s="2">
        <v>176</v>
      </c>
      <c r="D115" s="2">
        <v>60</v>
      </c>
    </row>
    <row r="116" spans="3:4" x14ac:dyDescent="0.3">
      <c r="C116" s="2">
        <v>172</v>
      </c>
      <c r="D116" s="2">
        <v>64</v>
      </c>
    </row>
    <row r="117" spans="3:4" x14ac:dyDescent="0.3">
      <c r="C117" s="2">
        <v>165</v>
      </c>
      <c r="D117" s="2">
        <v>60</v>
      </c>
    </row>
    <row r="118" spans="3:4" x14ac:dyDescent="0.3">
      <c r="C118" s="2">
        <v>178</v>
      </c>
      <c r="D118" s="2">
        <v>71</v>
      </c>
    </row>
    <row r="119" spans="3:4" x14ac:dyDescent="0.3">
      <c r="C119" s="2">
        <v>157</v>
      </c>
      <c r="D119" s="2">
        <v>60</v>
      </c>
    </row>
    <row r="120" spans="3:4" x14ac:dyDescent="0.3">
      <c r="C120" s="2">
        <v>169</v>
      </c>
      <c r="D120" s="2">
        <v>65</v>
      </c>
    </row>
    <row r="121" spans="3:4" x14ac:dyDescent="0.3">
      <c r="C121" s="2">
        <v>169</v>
      </c>
      <c r="D121" s="2">
        <v>62</v>
      </c>
    </row>
    <row r="122" spans="3:4" x14ac:dyDescent="0.3">
      <c r="C122" s="2">
        <v>167</v>
      </c>
      <c r="D122" s="2">
        <v>63</v>
      </c>
    </row>
    <row r="123" spans="3:4" x14ac:dyDescent="0.3">
      <c r="C123" s="2">
        <v>177</v>
      </c>
      <c r="D123" s="2">
        <v>67</v>
      </c>
    </row>
    <row r="124" spans="3:4" x14ac:dyDescent="0.3">
      <c r="C124" s="2">
        <v>159</v>
      </c>
      <c r="D124" s="2">
        <v>61</v>
      </c>
    </row>
    <row r="125" spans="3:4" x14ac:dyDescent="0.3">
      <c r="C125" s="2">
        <v>172</v>
      </c>
      <c r="D125" s="2">
        <v>69</v>
      </c>
    </row>
    <row r="126" spans="3:4" x14ac:dyDescent="0.3">
      <c r="C126" s="2">
        <v>167</v>
      </c>
      <c r="D126" s="2">
        <v>65</v>
      </c>
    </row>
    <row r="127" spans="3:4" x14ac:dyDescent="0.3">
      <c r="C127" s="2">
        <v>164</v>
      </c>
      <c r="D127" s="2">
        <v>70</v>
      </c>
    </row>
    <row r="128" spans="3:4" x14ac:dyDescent="0.3">
      <c r="C128" s="2">
        <v>174</v>
      </c>
      <c r="D128" s="2">
        <v>74</v>
      </c>
    </row>
    <row r="129" spans="3:4" x14ac:dyDescent="0.3">
      <c r="C129" s="2">
        <v>176</v>
      </c>
      <c r="D129" s="2">
        <v>75</v>
      </c>
    </row>
    <row r="130" spans="3:4" x14ac:dyDescent="0.3">
      <c r="C130" s="2">
        <v>159</v>
      </c>
      <c r="D130" s="2">
        <v>48</v>
      </c>
    </row>
    <row r="131" spans="3:4" x14ac:dyDescent="0.3">
      <c r="C131" s="2">
        <v>169</v>
      </c>
      <c r="D131" s="2">
        <v>67</v>
      </c>
    </row>
    <row r="132" spans="3:4" x14ac:dyDescent="0.3">
      <c r="C132" s="2">
        <v>167</v>
      </c>
      <c r="D132" s="2">
        <v>57</v>
      </c>
    </row>
    <row r="133" spans="3:4" x14ac:dyDescent="0.3">
      <c r="C133" s="2">
        <v>157</v>
      </c>
      <c r="D133" s="2">
        <v>53</v>
      </c>
    </row>
    <row r="134" spans="3:4" x14ac:dyDescent="0.3">
      <c r="C134" s="2">
        <v>175</v>
      </c>
      <c r="D134" s="2">
        <v>66</v>
      </c>
    </row>
    <row r="135" spans="3:4" x14ac:dyDescent="0.3">
      <c r="C135" s="2">
        <v>165</v>
      </c>
      <c r="D135" s="2">
        <v>60</v>
      </c>
    </row>
    <row r="136" spans="3:4" x14ac:dyDescent="0.3">
      <c r="C136" s="2">
        <v>168</v>
      </c>
      <c r="D136" s="2">
        <v>62</v>
      </c>
    </row>
    <row r="137" spans="3:4" x14ac:dyDescent="0.3">
      <c r="C137" s="2">
        <v>172</v>
      </c>
      <c r="D137" s="2">
        <v>67</v>
      </c>
    </row>
    <row r="138" spans="3:4" x14ac:dyDescent="0.3">
      <c r="C138" s="2">
        <v>173</v>
      </c>
      <c r="D138" s="2">
        <v>66</v>
      </c>
    </row>
    <row r="139" spans="3:4" x14ac:dyDescent="0.3">
      <c r="C139" s="2">
        <v>167</v>
      </c>
      <c r="D139" s="2">
        <v>68</v>
      </c>
    </row>
    <row r="140" spans="3:4" x14ac:dyDescent="0.3">
      <c r="C140" s="2">
        <v>163</v>
      </c>
      <c r="D140" s="2">
        <v>54</v>
      </c>
    </row>
    <row r="141" spans="3:4" x14ac:dyDescent="0.3">
      <c r="C141" s="2">
        <v>166</v>
      </c>
      <c r="D141" s="2">
        <v>63</v>
      </c>
    </row>
    <row r="142" spans="3:4" x14ac:dyDescent="0.3">
      <c r="C142" s="2">
        <v>168</v>
      </c>
      <c r="D142" s="2">
        <v>67</v>
      </c>
    </row>
    <row r="143" spans="3:4" x14ac:dyDescent="0.3">
      <c r="C143" s="2">
        <v>169</v>
      </c>
      <c r="D143" s="2">
        <v>64</v>
      </c>
    </row>
    <row r="144" spans="3:4" x14ac:dyDescent="0.3">
      <c r="C144" s="2">
        <v>177</v>
      </c>
      <c r="D144" s="2">
        <v>67</v>
      </c>
    </row>
    <row r="145" spans="3:4" x14ac:dyDescent="0.3">
      <c r="C145" s="2">
        <v>170</v>
      </c>
      <c r="D145" s="2">
        <v>61</v>
      </c>
    </row>
    <row r="146" spans="3:4" x14ac:dyDescent="0.3">
      <c r="C146" s="2">
        <v>170</v>
      </c>
      <c r="D146" s="2">
        <v>69</v>
      </c>
    </row>
    <row r="147" spans="3:4" x14ac:dyDescent="0.3">
      <c r="C147" s="2">
        <v>176</v>
      </c>
      <c r="D147" s="2">
        <v>62</v>
      </c>
    </row>
    <row r="148" spans="3:4" x14ac:dyDescent="0.3">
      <c r="C148" s="2">
        <v>165</v>
      </c>
      <c r="D148" s="2">
        <v>72</v>
      </c>
    </row>
    <row r="149" spans="3:4" x14ac:dyDescent="0.3">
      <c r="C149" s="2">
        <v>182</v>
      </c>
      <c r="D149" s="2">
        <v>66</v>
      </c>
    </row>
    <row r="150" spans="3:4" x14ac:dyDescent="0.3">
      <c r="C150" s="2">
        <v>173</v>
      </c>
      <c r="D150" s="2">
        <v>65</v>
      </c>
    </row>
    <row r="151" spans="3:4" x14ac:dyDescent="0.3">
      <c r="C151" s="2">
        <v>166</v>
      </c>
      <c r="D151" s="2">
        <v>60</v>
      </c>
    </row>
    <row r="152" spans="3:4" x14ac:dyDescent="0.3">
      <c r="C152" s="2">
        <v>170</v>
      </c>
      <c r="D152" s="2">
        <v>73</v>
      </c>
    </row>
    <row r="153" spans="3:4" x14ac:dyDescent="0.3">
      <c r="C153" s="2">
        <v>166</v>
      </c>
      <c r="D153" s="2">
        <v>57</v>
      </c>
    </row>
    <row r="154" spans="3:4" x14ac:dyDescent="0.3">
      <c r="C154" s="2">
        <v>177</v>
      </c>
      <c r="D154" s="2">
        <v>68</v>
      </c>
    </row>
    <row r="155" spans="3:4" x14ac:dyDescent="0.3">
      <c r="C155" s="2">
        <v>172</v>
      </c>
      <c r="D155" s="2">
        <v>63</v>
      </c>
    </row>
    <row r="156" spans="3:4" x14ac:dyDescent="0.3">
      <c r="C156" s="2">
        <v>161</v>
      </c>
      <c r="D156" s="2">
        <v>60</v>
      </c>
    </row>
    <row r="157" spans="3:4" x14ac:dyDescent="0.3">
      <c r="C157" s="2">
        <v>172</v>
      </c>
      <c r="D157" s="2">
        <v>67</v>
      </c>
    </row>
    <row r="158" spans="3:4" x14ac:dyDescent="0.3">
      <c r="C158" s="2">
        <v>163</v>
      </c>
      <c r="D158" s="2">
        <v>65</v>
      </c>
    </row>
    <row r="159" spans="3:4" x14ac:dyDescent="0.3">
      <c r="C159" s="2">
        <v>176</v>
      </c>
      <c r="D159" s="2">
        <v>67</v>
      </c>
    </row>
    <row r="160" spans="3:4" x14ac:dyDescent="0.3">
      <c r="C160" s="2">
        <v>161</v>
      </c>
      <c r="D160" s="2">
        <v>55</v>
      </c>
    </row>
    <row r="161" spans="3:4" x14ac:dyDescent="0.3">
      <c r="C161" s="2">
        <v>161</v>
      </c>
      <c r="D161" s="2">
        <v>60</v>
      </c>
    </row>
    <row r="162" spans="3:4" x14ac:dyDescent="0.3">
      <c r="C162" s="2">
        <v>172</v>
      </c>
      <c r="D162" s="2">
        <v>72</v>
      </c>
    </row>
    <row r="163" spans="3:4" x14ac:dyDescent="0.3">
      <c r="C163" s="2">
        <v>167</v>
      </c>
      <c r="D163" s="2">
        <v>61</v>
      </c>
    </row>
    <row r="164" spans="3:4" x14ac:dyDescent="0.3">
      <c r="C164" s="2">
        <v>168</v>
      </c>
      <c r="D164" s="2">
        <v>63</v>
      </c>
    </row>
    <row r="165" spans="3:4" x14ac:dyDescent="0.3">
      <c r="C165" s="2">
        <v>161</v>
      </c>
      <c r="D165" s="2">
        <v>61</v>
      </c>
    </row>
    <row r="166" spans="3:4" x14ac:dyDescent="0.3">
      <c r="C166" s="2">
        <v>169</v>
      </c>
      <c r="D166" s="2">
        <v>59</v>
      </c>
    </row>
    <row r="167" spans="3:4" x14ac:dyDescent="0.3">
      <c r="C167" s="2">
        <v>168</v>
      </c>
      <c r="D167" s="2">
        <v>70</v>
      </c>
    </row>
    <row r="168" spans="3:4" x14ac:dyDescent="0.3">
      <c r="C168" s="2">
        <v>170</v>
      </c>
      <c r="D168" s="2">
        <v>61</v>
      </c>
    </row>
    <row r="169" spans="3:4" x14ac:dyDescent="0.3">
      <c r="C169" s="2">
        <v>166</v>
      </c>
      <c r="D169" s="2">
        <v>55</v>
      </c>
    </row>
    <row r="170" spans="3:4" x14ac:dyDescent="0.3">
      <c r="C170" s="2">
        <v>175</v>
      </c>
      <c r="D170" s="2">
        <v>64</v>
      </c>
    </row>
    <row r="171" spans="3:4" x14ac:dyDescent="0.3">
      <c r="C171" s="2">
        <v>180</v>
      </c>
      <c r="D171" s="2">
        <v>73</v>
      </c>
    </row>
    <row r="172" spans="3:4" x14ac:dyDescent="0.3">
      <c r="C172" s="2">
        <v>164</v>
      </c>
      <c r="D172" s="2">
        <v>56</v>
      </c>
    </row>
    <row r="173" spans="3:4" x14ac:dyDescent="0.3">
      <c r="C173" s="2">
        <v>161</v>
      </c>
      <c r="D173" s="2">
        <v>51</v>
      </c>
    </row>
    <row r="174" spans="3:4" x14ac:dyDescent="0.3">
      <c r="C174" s="2">
        <v>162</v>
      </c>
      <c r="D174" s="2">
        <v>61</v>
      </c>
    </row>
    <row r="175" spans="3:4" x14ac:dyDescent="0.3">
      <c r="C175" s="2">
        <v>171</v>
      </c>
      <c r="D175" s="2">
        <v>67</v>
      </c>
    </row>
    <row r="176" spans="3:4" x14ac:dyDescent="0.3">
      <c r="C176" s="2">
        <v>166</v>
      </c>
      <c r="D176" s="2">
        <v>63</v>
      </c>
    </row>
    <row r="177" spans="3:4" x14ac:dyDescent="0.3">
      <c r="C177" s="2">
        <v>179</v>
      </c>
      <c r="D177" s="2">
        <v>71</v>
      </c>
    </row>
    <row r="178" spans="3:4" x14ac:dyDescent="0.3">
      <c r="C178" s="2">
        <v>162</v>
      </c>
      <c r="D178" s="2">
        <v>52</v>
      </c>
    </row>
    <row r="179" spans="3:4" x14ac:dyDescent="0.3">
      <c r="C179" s="2">
        <v>167</v>
      </c>
      <c r="D179" s="2">
        <v>55</v>
      </c>
    </row>
    <row r="180" spans="3:4" x14ac:dyDescent="0.3">
      <c r="C180" s="2">
        <v>176</v>
      </c>
      <c r="D180" s="2">
        <v>70</v>
      </c>
    </row>
    <row r="181" spans="3:4" x14ac:dyDescent="0.3">
      <c r="C181" s="2">
        <v>163</v>
      </c>
      <c r="D181" s="2">
        <v>63</v>
      </c>
    </row>
    <row r="182" spans="3:4" x14ac:dyDescent="0.3">
      <c r="C182" s="2">
        <v>169</v>
      </c>
      <c r="D182" s="2">
        <v>62</v>
      </c>
    </row>
    <row r="183" spans="3:4" x14ac:dyDescent="0.3">
      <c r="C183" s="2">
        <v>174</v>
      </c>
      <c r="D183" s="2">
        <v>73</v>
      </c>
    </row>
    <row r="184" spans="3:4" x14ac:dyDescent="0.3">
      <c r="C184" s="2">
        <v>167</v>
      </c>
      <c r="D184" s="2">
        <v>65</v>
      </c>
    </row>
    <row r="185" spans="3:4" x14ac:dyDescent="0.3">
      <c r="C185" s="2">
        <v>179</v>
      </c>
      <c r="D185" s="2">
        <v>63</v>
      </c>
    </row>
    <row r="186" spans="3:4" x14ac:dyDescent="0.3">
      <c r="C186" s="2">
        <v>173</v>
      </c>
      <c r="D186" s="2">
        <v>63</v>
      </c>
    </row>
    <row r="187" spans="3:4" x14ac:dyDescent="0.3">
      <c r="C187" s="2">
        <v>172</v>
      </c>
      <c r="D187" s="2">
        <v>67</v>
      </c>
    </row>
    <row r="188" spans="3:4" x14ac:dyDescent="0.3">
      <c r="C188" s="2">
        <v>171</v>
      </c>
      <c r="D188" s="2">
        <v>66</v>
      </c>
    </row>
    <row r="189" spans="3:4" x14ac:dyDescent="0.3">
      <c r="C189" s="2">
        <v>171</v>
      </c>
      <c r="D189" s="2">
        <v>64</v>
      </c>
    </row>
    <row r="190" spans="3:4" x14ac:dyDescent="0.3">
      <c r="C190" s="2">
        <v>171</v>
      </c>
      <c r="D190" s="2">
        <v>67</v>
      </c>
    </row>
    <row r="191" spans="3:4" x14ac:dyDescent="0.3">
      <c r="C191" s="2">
        <v>163</v>
      </c>
      <c r="D191" s="2">
        <v>72</v>
      </c>
    </row>
    <row r="192" spans="3:4" x14ac:dyDescent="0.3">
      <c r="C192" s="2">
        <v>168</v>
      </c>
      <c r="D192" s="2">
        <v>64</v>
      </c>
    </row>
    <row r="193" spans="3:4" x14ac:dyDescent="0.3">
      <c r="C193" s="2">
        <v>164</v>
      </c>
      <c r="D193" s="2">
        <v>70</v>
      </c>
    </row>
    <row r="194" spans="3:4" x14ac:dyDescent="0.3">
      <c r="C194" s="2">
        <v>167</v>
      </c>
      <c r="D194" s="2">
        <v>66</v>
      </c>
    </row>
    <row r="195" spans="3:4" x14ac:dyDescent="0.3">
      <c r="C195" s="2">
        <v>171</v>
      </c>
      <c r="D195" s="2">
        <v>65</v>
      </c>
    </row>
    <row r="196" spans="3:4" x14ac:dyDescent="0.3">
      <c r="C196" s="2">
        <v>165</v>
      </c>
      <c r="D196" s="2">
        <v>62</v>
      </c>
    </row>
    <row r="197" spans="3:4" x14ac:dyDescent="0.3">
      <c r="C197" s="2">
        <v>164</v>
      </c>
      <c r="D197" s="2">
        <v>61</v>
      </c>
    </row>
    <row r="198" spans="3:4" x14ac:dyDescent="0.3">
      <c r="C198" s="2">
        <v>180</v>
      </c>
      <c r="D198" s="2">
        <v>76</v>
      </c>
    </row>
    <row r="199" spans="3:4" x14ac:dyDescent="0.3">
      <c r="C199" s="2">
        <v>165</v>
      </c>
      <c r="D199" s="2">
        <v>76</v>
      </c>
    </row>
    <row r="200" spans="3:4" x14ac:dyDescent="0.3">
      <c r="C200" s="2">
        <v>165</v>
      </c>
      <c r="D200" s="2">
        <v>63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AF26-005E-440F-9E2C-5A389162AF5A}">
  <dimension ref="A1:Q26"/>
  <sheetViews>
    <sheetView workbookViewId="0">
      <selection activeCell="A6" sqref="A6"/>
    </sheetView>
  </sheetViews>
  <sheetFormatPr defaultRowHeight="15.6" x14ac:dyDescent="0.3"/>
  <cols>
    <col min="1" max="1" width="66" style="7" customWidth="1"/>
    <col min="2" max="16384" width="8.88671875" style="7"/>
  </cols>
  <sheetData>
    <row r="1" spans="1:17" x14ac:dyDescent="0.3">
      <c r="A1" s="7" t="s">
        <v>103</v>
      </c>
    </row>
    <row r="2" spans="1:17" x14ac:dyDescent="0.3">
      <c r="A2" s="7" t="s">
        <v>104</v>
      </c>
      <c r="D2" s="12" t="s">
        <v>121</v>
      </c>
      <c r="E2" s="13"/>
      <c r="F2" s="14" cm="1">
        <f t="array" ref="F2:O3">TRANSPOSE('4'!V3:W12)</f>
        <v>48</v>
      </c>
      <c r="G2" s="14">
        <v>51.2</v>
      </c>
      <c r="H2" s="14">
        <v>54.400000000000006</v>
      </c>
      <c r="I2" s="14">
        <v>57.600000000000009</v>
      </c>
      <c r="J2" s="14">
        <v>60.800000000000011</v>
      </c>
      <c r="K2" s="14">
        <v>64.000000000000014</v>
      </c>
      <c r="L2" s="14">
        <v>67.200000000000017</v>
      </c>
      <c r="M2" s="14">
        <v>70.40000000000002</v>
      </c>
      <c r="N2" s="14">
        <v>73.600000000000023</v>
      </c>
      <c r="O2" s="14">
        <v>76.800000000000026</v>
      </c>
      <c r="P2" s="22" t="s">
        <v>144</v>
      </c>
      <c r="Q2" s="23"/>
    </row>
    <row r="3" spans="1:17" x14ac:dyDescent="0.3">
      <c r="D3" s="16"/>
      <c r="E3" s="17"/>
      <c r="F3" s="14">
        <v>51.2</v>
      </c>
      <c r="G3" s="14">
        <v>54.400000000000006</v>
      </c>
      <c r="H3" s="14">
        <v>57.600000000000009</v>
      </c>
      <c r="I3" s="14">
        <v>60.800000000000011</v>
      </c>
      <c r="J3" s="14">
        <v>64.000000000000014</v>
      </c>
      <c r="K3" s="14">
        <v>67.200000000000017</v>
      </c>
      <c r="L3" s="14">
        <v>70.40000000000002</v>
      </c>
      <c r="M3" s="14">
        <v>73.600000000000023</v>
      </c>
      <c r="N3" s="14">
        <v>76.800000000000026</v>
      </c>
      <c r="O3" s="14">
        <v>80.000000000000028</v>
      </c>
      <c r="P3" s="22"/>
      <c r="Q3" s="23"/>
    </row>
    <row r="4" spans="1:17" x14ac:dyDescent="0.3">
      <c r="D4" s="14">
        <v>156</v>
      </c>
      <c r="E4" s="14">
        <v>160</v>
      </c>
      <c r="F4" s="19">
        <v>2</v>
      </c>
      <c r="G4" s="19">
        <v>2</v>
      </c>
      <c r="H4" s="19">
        <v>1</v>
      </c>
      <c r="I4" s="19">
        <v>3</v>
      </c>
      <c r="J4" s="19">
        <v>3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7">
        <f>SUM(F4:O4)</f>
        <v>11</v>
      </c>
    </row>
    <row r="5" spans="1:17" x14ac:dyDescent="0.3">
      <c r="D5" s="14">
        <v>160</v>
      </c>
      <c r="E5" s="14">
        <v>164</v>
      </c>
      <c r="F5" s="19">
        <v>2</v>
      </c>
      <c r="G5" s="19">
        <v>4</v>
      </c>
      <c r="H5" s="19">
        <v>5</v>
      </c>
      <c r="I5" s="19">
        <v>8</v>
      </c>
      <c r="J5" s="19">
        <v>10</v>
      </c>
      <c r="K5" s="19">
        <v>1</v>
      </c>
      <c r="L5" s="19">
        <v>2</v>
      </c>
      <c r="M5" s="19">
        <v>1</v>
      </c>
      <c r="N5" s="19">
        <v>0</v>
      </c>
      <c r="O5" s="19">
        <v>0</v>
      </c>
      <c r="P5" s="7">
        <f t="shared" ref="P5:P13" si="0">SUM(F5:O5)</f>
        <v>33</v>
      </c>
    </row>
    <row r="6" spans="1:17" x14ac:dyDescent="0.3">
      <c r="D6" s="14">
        <v>164</v>
      </c>
      <c r="E6" s="14">
        <v>168</v>
      </c>
      <c r="F6" s="19">
        <v>1</v>
      </c>
      <c r="G6" s="19">
        <v>0</v>
      </c>
      <c r="H6" s="19">
        <v>6</v>
      </c>
      <c r="I6" s="19">
        <v>4</v>
      </c>
      <c r="J6" s="19">
        <v>20</v>
      </c>
      <c r="K6" s="19">
        <v>8</v>
      </c>
      <c r="L6" s="19">
        <v>2</v>
      </c>
      <c r="M6" s="19">
        <v>3</v>
      </c>
      <c r="N6" s="19">
        <v>2</v>
      </c>
      <c r="O6" s="19">
        <v>1</v>
      </c>
      <c r="P6" s="7">
        <f t="shared" si="0"/>
        <v>47</v>
      </c>
    </row>
    <row r="7" spans="1:17" x14ac:dyDescent="0.3">
      <c r="D7" s="14">
        <v>168</v>
      </c>
      <c r="E7" s="14">
        <v>172</v>
      </c>
      <c r="F7" s="19">
        <v>0</v>
      </c>
      <c r="G7" s="19">
        <v>0</v>
      </c>
      <c r="H7" s="19">
        <v>0</v>
      </c>
      <c r="I7" s="19">
        <v>3</v>
      </c>
      <c r="J7" s="19">
        <v>15</v>
      </c>
      <c r="K7" s="19">
        <v>21</v>
      </c>
      <c r="L7" s="19">
        <v>7</v>
      </c>
      <c r="M7" s="19">
        <v>5</v>
      </c>
      <c r="N7" s="19">
        <v>5</v>
      </c>
      <c r="O7" s="19">
        <v>1</v>
      </c>
      <c r="P7" s="7">
        <f t="shared" si="0"/>
        <v>57</v>
      </c>
    </row>
    <row r="8" spans="1:17" x14ac:dyDescent="0.3">
      <c r="D8" s="14">
        <v>172</v>
      </c>
      <c r="E8" s="14">
        <v>176</v>
      </c>
      <c r="F8" s="19">
        <v>0</v>
      </c>
      <c r="G8" s="19">
        <v>0</v>
      </c>
      <c r="H8" s="19">
        <v>0</v>
      </c>
      <c r="I8" s="19">
        <v>1</v>
      </c>
      <c r="J8" s="19">
        <v>5</v>
      </c>
      <c r="K8" s="19">
        <v>8</v>
      </c>
      <c r="L8" s="19">
        <v>3</v>
      </c>
      <c r="M8" s="19">
        <v>4</v>
      </c>
      <c r="N8" s="19">
        <v>3</v>
      </c>
      <c r="O8" s="19">
        <v>3</v>
      </c>
      <c r="P8" s="7">
        <f t="shared" si="0"/>
        <v>27</v>
      </c>
    </row>
    <row r="9" spans="1:17" x14ac:dyDescent="0.3">
      <c r="D9" s="14">
        <v>176</v>
      </c>
      <c r="E9" s="14">
        <v>180</v>
      </c>
      <c r="F9" s="19">
        <v>0</v>
      </c>
      <c r="G9" s="19">
        <v>0</v>
      </c>
      <c r="H9" s="19">
        <v>0</v>
      </c>
      <c r="I9" s="19">
        <v>0</v>
      </c>
      <c r="J9" s="19">
        <v>1</v>
      </c>
      <c r="K9" s="19">
        <v>5</v>
      </c>
      <c r="L9" s="19">
        <v>2</v>
      </c>
      <c r="M9" s="19">
        <v>5</v>
      </c>
      <c r="N9" s="19">
        <v>2</v>
      </c>
      <c r="O9" s="19">
        <v>4</v>
      </c>
      <c r="P9" s="7">
        <f t="shared" si="0"/>
        <v>19</v>
      </c>
    </row>
    <row r="10" spans="1:17" x14ac:dyDescent="0.3">
      <c r="D10" s="14">
        <v>180</v>
      </c>
      <c r="E10" s="14">
        <v>184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1</v>
      </c>
      <c r="L10" s="19">
        <v>1</v>
      </c>
      <c r="M10" s="19">
        <v>0</v>
      </c>
      <c r="N10" s="19">
        <v>1</v>
      </c>
      <c r="O10" s="19">
        <v>0</v>
      </c>
      <c r="P10" s="7">
        <f t="shared" si="0"/>
        <v>3</v>
      </c>
    </row>
    <row r="11" spans="1:17" x14ac:dyDescent="0.3">
      <c r="A11" s="8" t="s">
        <v>122</v>
      </c>
      <c r="D11" s="14">
        <v>184</v>
      </c>
      <c r="E11" s="14">
        <v>188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1</v>
      </c>
      <c r="N11" s="19">
        <v>0</v>
      </c>
      <c r="O11" s="19">
        <v>0</v>
      </c>
      <c r="P11" s="7">
        <f t="shared" si="0"/>
        <v>1</v>
      </c>
    </row>
    <row r="12" spans="1:17" x14ac:dyDescent="0.3">
      <c r="A12" s="8" t="s">
        <v>123</v>
      </c>
      <c r="D12" s="14">
        <v>188</v>
      </c>
      <c r="E12" s="14">
        <v>192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1</v>
      </c>
      <c r="P12" s="7">
        <f t="shared" si="0"/>
        <v>1</v>
      </c>
    </row>
    <row r="13" spans="1:17" x14ac:dyDescent="0.3">
      <c r="A13" s="8" t="s">
        <v>124</v>
      </c>
      <c r="D13" s="14">
        <v>192</v>
      </c>
      <c r="E13" s="14">
        <v>196</v>
      </c>
      <c r="F13" s="19">
        <v>0</v>
      </c>
      <c r="G13" s="19">
        <v>0</v>
      </c>
      <c r="H13" s="19">
        <v>0</v>
      </c>
      <c r="I13" s="19">
        <v>1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7">
        <f t="shared" si="0"/>
        <v>1</v>
      </c>
    </row>
    <row r="14" spans="1:17" x14ac:dyDescent="0.3">
      <c r="D14" s="24" t="s">
        <v>145</v>
      </c>
      <c r="E14" s="25"/>
      <c r="F14" s="14">
        <f t="shared" ref="F14:O14" si="1">SUM(F4:F13)</f>
        <v>5</v>
      </c>
      <c r="G14" s="14">
        <f t="shared" si="1"/>
        <v>6</v>
      </c>
      <c r="H14" s="14">
        <f t="shared" si="1"/>
        <v>12</v>
      </c>
      <c r="I14" s="14">
        <f t="shared" si="1"/>
        <v>20</v>
      </c>
      <c r="J14" s="14">
        <f t="shared" si="1"/>
        <v>54</v>
      </c>
      <c r="K14" s="14">
        <f t="shared" si="1"/>
        <v>44</v>
      </c>
      <c r="L14" s="14">
        <f t="shared" si="1"/>
        <v>17</v>
      </c>
      <c r="M14" s="14">
        <f t="shared" si="1"/>
        <v>19</v>
      </c>
      <c r="N14" s="14">
        <f t="shared" si="1"/>
        <v>13</v>
      </c>
      <c r="O14" s="14">
        <f t="shared" si="1"/>
        <v>10</v>
      </c>
    </row>
    <row r="16" spans="1:17" x14ac:dyDescent="0.3">
      <c r="E16" s="19" t="s">
        <v>121</v>
      </c>
      <c r="F16" s="19">
        <f>AVERAGE(F2:F3)</f>
        <v>49.6</v>
      </c>
      <c r="G16" s="19">
        <f t="shared" ref="G16:O16" si="2">AVERAGE(G2:G3)</f>
        <v>52.800000000000004</v>
      </c>
      <c r="H16" s="19">
        <f t="shared" si="2"/>
        <v>56.000000000000007</v>
      </c>
      <c r="I16" s="19">
        <f t="shared" si="2"/>
        <v>59.20000000000001</v>
      </c>
      <c r="J16" s="19">
        <f t="shared" si="2"/>
        <v>62.400000000000013</v>
      </c>
      <c r="K16" s="19">
        <f t="shared" si="2"/>
        <v>65.600000000000023</v>
      </c>
      <c r="L16" s="19">
        <f t="shared" si="2"/>
        <v>68.800000000000011</v>
      </c>
      <c r="M16" s="19">
        <f t="shared" si="2"/>
        <v>72.000000000000028</v>
      </c>
      <c r="N16" s="19">
        <f t="shared" si="2"/>
        <v>75.200000000000017</v>
      </c>
      <c r="O16" s="19">
        <f t="shared" si="2"/>
        <v>78.400000000000034</v>
      </c>
      <c r="P16" s="7" t="s">
        <v>144</v>
      </c>
      <c r="Q16" s="7" t="s">
        <v>178</v>
      </c>
    </row>
    <row r="17" spans="5:17" x14ac:dyDescent="0.3">
      <c r="E17" s="19">
        <f>AVERAGE(D4:E4)</f>
        <v>158</v>
      </c>
      <c r="F17" s="19">
        <v>2</v>
      </c>
      <c r="G17" s="19">
        <v>2</v>
      </c>
      <c r="H17" s="19">
        <v>1</v>
      </c>
      <c r="I17" s="19">
        <v>3</v>
      </c>
      <c r="J17" s="19">
        <v>3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7">
        <f>SUM(F17:O17)</f>
        <v>11</v>
      </c>
      <c r="Q17" s="7">
        <f>SUMPRODUCT(F17:O17,$F$16:$O$16)*1/P17</f>
        <v>56.872727272727282</v>
      </c>
    </row>
    <row r="18" spans="5:17" x14ac:dyDescent="0.3">
      <c r="E18" s="19">
        <f t="shared" ref="E18:E26" si="3">AVERAGE(D5:E5)</f>
        <v>162</v>
      </c>
      <c r="F18" s="19">
        <v>2</v>
      </c>
      <c r="G18" s="19">
        <v>4</v>
      </c>
      <c r="H18" s="19">
        <v>5</v>
      </c>
      <c r="I18" s="19">
        <v>8</v>
      </c>
      <c r="J18" s="19">
        <v>10</v>
      </c>
      <c r="K18" s="19">
        <v>1</v>
      </c>
      <c r="L18" s="19">
        <v>2</v>
      </c>
      <c r="M18" s="19">
        <v>1</v>
      </c>
      <c r="N18" s="19">
        <v>0</v>
      </c>
      <c r="O18" s="19">
        <v>0</v>
      </c>
      <c r="P18" s="7">
        <f t="shared" ref="P18:P26" si="4">SUM(F18:O18)</f>
        <v>33</v>
      </c>
      <c r="Q18" s="7">
        <f t="shared" ref="Q18:Q26" si="5">SUMPRODUCT(F18:O18,$F$16:$O$16)*1/P18</f>
        <v>59.490909090909099</v>
      </c>
    </row>
    <row r="19" spans="5:17" x14ac:dyDescent="0.3">
      <c r="E19" s="19">
        <f t="shared" si="3"/>
        <v>166</v>
      </c>
      <c r="F19" s="19">
        <v>1</v>
      </c>
      <c r="G19" s="19">
        <v>0</v>
      </c>
      <c r="H19" s="19">
        <v>6</v>
      </c>
      <c r="I19" s="19">
        <v>4</v>
      </c>
      <c r="J19" s="19">
        <v>20</v>
      </c>
      <c r="K19" s="19">
        <v>8</v>
      </c>
      <c r="L19" s="19">
        <v>2</v>
      </c>
      <c r="M19" s="19">
        <v>3</v>
      </c>
      <c r="N19" s="19">
        <v>2</v>
      </c>
      <c r="O19" s="19">
        <v>1</v>
      </c>
      <c r="P19" s="7">
        <f t="shared" si="4"/>
        <v>47</v>
      </c>
      <c r="Q19" s="7">
        <f t="shared" si="5"/>
        <v>63.35319148936172</v>
      </c>
    </row>
    <row r="20" spans="5:17" x14ac:dyDescent="0.3">
      <c r="E20" s="19">
        <f t="shared" si="3"/>
        <v>170</v>
      </c>
      <c r="F20" s="19">
        <v>0</v>
      </c>
      <c r="G20" s="19">
        <v>0</v>
      </c>
      <c r="H20" s="19">
        <v>0</v>
      </c>
      <c r="I20" s="19">
        <v>3</v>
      </c>
      <c r="J20" s="19">
        <v>15</v>
      </c>
      <c r="K20" s="19">
        <v>21</v>
      </c>
      <c r="L20" s="19">
        <v>7</v>
      </c>
      <c r="M20" s="19">
        <v>5</v>
      </c>
      <c r="N20" s="19">
        <v>5</v>
      </c>
      <c r="O20" s="19">
        <v>1</v>
      </c>
      <c r="P20" s="7">
        <f t="shared" si="4"/>
        <v>57</v>
      </c>
      <c r="Q20" s="7">
        <f t="shared" si="5"/>
        <v>66.442105263157913</v>
      </c>
    </row>
    <row r="21" spans="5:17" x14ac:dyDescent="0.3">
      <c r="E21" s="19">
        <f t="shared" si="3"/>
        <v>174</v>
      </c>
      <c r="F21" s="19">
        <v>0</v>
      </c>
      <c r="G21" s="19">
        <v>0</v>
      </c>
      <c r="H21" s="19">
        <v>0</v>
      </c>
      <c r="I21" s="19">
        <v>1</v>
      </c>
      <c r="J21" s="19">
        <v>5</v>
      </c>
      <c r="K21" s="19">
        <v>8</v>
      </c>
      <c r="L21" s="19">
        <v>3</v>
      </c>
      <c r="M21" s="19">
        <v>4</v>
      </c>
      <c r="N21" s="19">
        <v>3</v>
      </c>
      <c r="O21" s="19">
        <v>3</v>
      </c>
      <c r="P21" s="7">
        <f t="shared" si="4"/>
        <v>27</v>
      </c>
      <c r="Q21" s="7">
        <f t="shared" si="5"/>
        <v>68.562962962962985</v>
      </c>
    </row>
    <row r="22" spans="5:17" x14ac:dyDescent="0.3">
      <c r="E22" s="19">
        <f t="shared" si="3"/>
        <v>178</v>
      </c>
      <c r="F22" s="19">
        <v>0</v>
      </c>
      <c r="G22" s="19">
        <v>0</v>
      </c>
      <c r="H22" s="19">
        <v>0</v>
      </c>
      <c r="I22" s="19">
        <v>0</v>
      </c>
      <c r="J22" s="19">
        <v>1</v>
      </c>
      <c r="K22" s="19">
        <v>5</v>
      </c>
      <c r="L22" s="19">
        <v>2</v>
      </c>
      <c r="M22" s="19">
        <v>5</v>
      </c>
      <c r="N22" s="19">
        <v>2</v>
      </c>
      <c r="O22" s="19">
        <v>4</v>
      </c>
      <c r="P22" s="7">
        <f t="shared" si="4"/>
        <v>19</v>
      </c>
      <c r="Q22" s="7">
        <f t="shared" si="5"/>
        <v>71.157894736842124</v>
      </c>
    </row>
    <row r="23" spans="5:17" x14ac:dyDescent="0.3">
      <c r="E23" s="19">
        <f t="shared" si="3"/>
        <v>182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1</v>
      </c>
      <c r="L23" s="19">
        <v>1</v>
      </c>
      <c r="M23" s="19">
        <v>0</v>
      </c>
      <c r="N23" s="19">
        <v>1</v>
      </c>
      <c r="O23" s="19">
        <v>0</v>
      </c>
      <c r="P23" s="7">
        <f t="shared" si="4"/>
        <v>3</v>
      </c>
      <c r="Q23" s="7">
        <f t="shared" si="5"/>
        <v>69.866666666666688</v>
      </c>
    </row>
    <row r="24" spans="5:17" x14ac:dyDescent="0.3">
      <c r="E24" s="19">
        <f t="shared" si="3"/>
        <v>186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1</v>
      </c>
      <c r="N24" s="19">
        <v>0</v>
      </c>
      <c r="O24" s="19">
        <v>0</v>
      </c>
      <c r="P24" s="7">
        <f t="shared" si="4"/>
        <v>1</v>
      </c>
      <c r="Q24" s="7">
        <f t="shared" si="5"/>
        <v>72.000000000000028</v>
      </c>
    </row>
    <row r="25" spans="5:17" x14ac:dyDescent="0.3">
      <c r="E25" s="19">
        <f t="shared" si="3"/>
        <v>190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1</v>
      </c>
      <c r="P25" s="7">
        <f t="shared" si="4"/>
        <v>1</v>
      </c>
      <c r="Q25" s="7">
        <f t="shared" si="5"/>
        <v>78.400000000000034</v>
      </c>
    </row>
    <row r="26" spans="5:17" x14ac:dyDescent="0.3">
      <c r="E26" s="19">
        <f t="shared" si="3"/>
        <v>194</v>
      </c>
      <c r="F26" s="19">
        <v>0</v>
      </c>
      <c r="G26" s="19">
        <v>0</v>
      </c>
      <c r="H26" s="19">
        <v>0</v>
      </c>
      <c r="I26" s="19">
        <v>1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7">
        <f t="shared" si="4"/>
        <v>1</v>
      </c>
      <c r="Q26" s="7">
        <f t="shared" si="5"/>
        <v>59.20000000000001</v>
      </c>
    </row>
  </sheetData>
  <mergeCells count="3">
    <mergeCell ref="D14:E14"/>
    <mergeCell ref="D2:E3"/>
    <mergeCell ref="P2:Q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9900-ECBB-4B1A-9B30-4726E517BF7B}">
  <dimension ref="A1:Q38"/>
  <sheetViews>
    <sheetView zoomScale="82" workbookViewId="0">
      <selection activeCell="A17" sqref="A17"/>
    </sheetView>
  </sheetViews>
  <sheetFormatPr defaultRowHeight="14.4" x14ac:dyDescent="0.3"/>
  <cols>
    <col min="1" max="1" width="60.33203125" bestFit="1" customWidth="1"/>
    <col min="3" max="3" width="9.21875" customWidth="1"/>
    <col min="16" max="16" width="9.6640625" bestFit="1" customWidth="1"/>
  </cols>
  <sheetData>
    <row r="1" spans="1:17" ht="15.6" x14ac:dyDescent="0.3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5.6" x14ac:dyDescent="0.3">
      <c r="A2" s="7" t="s">
        <v>106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15.6" x14ac:dyDescent="0.3">
      <c r="A3" s="7"/>
      <c r="B3" s="7"/>
      <c r="C3" s="12" t="s">
        <v>121</v>
      </c>
      <c r="D3" s="13"/>
      <c r="E3" s="14" cm="1">
        <f t="array" ref="E3:N3">TRANSPOSE('4'!V3:V12)</f>
        <v>48</v>
      </c>
      <c r="F3" s="14">
        <v>51.2</v>
      </c>
      <c r="G3" s="14">
        <v>54.400000000000006</v>
      </c>
      <c r="H3" s="14">
        <v>57.600000000000009</v>
      </c>
      <c r="I3" s="14">
        <v>60.800000000000011</v>
      </c>
      <c r="J3" s="14">
        <v>64.000000000000014</v>
      </c>
      <c r="K3" s="14">
        <v>67.200000000000017</v>
      </c>
      <c r="L3" s="14">
        <v>70.40000000000002</v>
      </c>
      <c r="M3" s="14">
        <v>73.600000000000023</v>
      </c>
      <c r="N3" s="14">
        <v>76.800000000000026</v>
      </c>
      <c r="O3" s="15" t="s">
        <v>144</v>
      </c>
      <c r="P3" s="7"/>
      <c r="Q3" s="7"/>
    </row>
    <row r="4" spans="1:17" ht="15.6" x14ac:dyDescent="0.3">
      <c r="A4" s="7"/>
      <c r="B4" s="7"/>
      <c r="C4" s="16"/>
      <c r="D4" s="17"/>
      <c r="E4" s="14" cm="1">
        <f t="array" ref="E4:N4">TRANSPOSE('4'!W3:W12)</f>
        <v>51.2</v>
      </c>
      <c r="F4" s="14">
        <v>54.400000000000006</v>
      </c>
      <c r="G4" s="14">
        <v>57.600000000000009</v>
      </c>
      <c r="H4" s="14">
        <v>60.800000000000011</v>
      </c>
      <c r="I4" s="14">
        <v>64.000000000000014</v>
      </c>
      <c r="J4" s="14">
        <v>67.200000000000017</v>
      </c>
      <c r="K4" s="14">
        <v>70.40000000000002</v>
      </c>
      <c r="L4" s="14">
        <v>73.600000000000023</v>
      </c>
      <c r="M4" s="14">
        <v>76.800000000000026</v>
      </c>
      <c r="N4" s="14">
        <v>80.000000000000028</v>
      </c>
      <c r="O4" s="15"/>
      <c r="P4" s="7"/>
      <c r="Q4" s="7"/>
    </row>
    <row r="5" spans="1:17" ht="15.6" x14ac:dyDescent="0.3">
      <c r="A5" s="7"/>
      <c r="B5" s="7"/>
      <c r="C5" s="14">
        <f>'3'!$F$3</f>
        <v>156</v>
      </c>
      <c r="D5" s="14">
        <f>'3'!$G$3</f>
        <v>160</v>
      </c>
      <c r="E5" s="14">
        <f t="shared" ref="E5:N5" si="0">COUNTIFS(Вес, "&gt;="&amp;E$3, Вес, "&lt;="&amp;E$4, Рост, "&gt;="&amp;$C5, Рост, "&lt;="&amp;$D5)</f>
        <v>2</v>
      </c>
      <c r="F5" s="14">
        <f t="shared" si="0"/>
        <v>2</v>
      </c>
      <c r="G5" s="14">
        <f t="shared" si="0"/>
        <v>1</v>
      </c>
      <c r="H5" s="14">
        <f t="shared" si="0"/>
        <v>3</v>
      </c>
      <c r="I5" s="14">
        <f t="shared" si="0"/>
        <v>3</v>
      </c>
      <c r="J5" s="14">
        <f t="shared" si="0"/>
        <v>0</v>
      </c>
      <c r="K5" s="14">
        <f t="shared" si="0"/>
        <v>0</v>
      </c>
      <c r="L5" s="14">
        <f t="shared" si="0"/>
        <v>0</v>
      </c>
      <c r="M5" s="14">
        <f t="shared" si="0"/>
        <v>0</v>
      </c>
      <c r="N5" s="14">
        <f t="shared" si="0"/>
        <v>0</v>
      </c>
      <c r="O5" s="14">
        <f t="shared" ref="O5:O14" si="1">SUM(E5:N5)</f>
        <v>11</v>
      </c>
      <c r="P5" s="7"/>
      <c r="Q5" s="7"/>
    </row>
    <row r="6" spans="1:17" ht="15.6" x14ac:dyDescent="0.3">
      <c r="A6" s="7"/>
      <c r="B6" s="7"/>
      <c r="C6" s="14" cm="1">
        <f t="array" ref="C6:C14">'3'!F4:F12</f>
        <v>160</v>
      </c>
      <c r="D6" s="14" cm="1">
        <f t="array" ref="D6:D14">'3'!G4:G12</f>
        <v>164</v>
      </c>
      <c r="E6" s="14">
        <f t="shared" ref="E6:E14" si="2">COUNTIFS(Вес, "&gt;="&amp;E$3, Вес, "&lt;="&amp;E$4, Рост, "&gt;"&amp;$C6, Рост, "&lt;="&amp;$D6)</f>
        <v>2</v>
      </c>
      <c r="F6" s="14">
        <f t="shared" ref="F6:N14" si="3">COUNTIFS(Вес, "&gt;"&amp;F$3, Вес, "&lt;="&amp;F$4, Рост, "&gt;"&amp;$C6, Рост, "&lt;="&amp;$D6)</f>
        <v>4</v>
      </c>
      <c r="G6" s="14">
        <f t="shared" si="3"/>
        <v>5</v>
      </c>
      <c r="H6" s="14">
        <f t="shared" si="3"/>
        <v>8</v>
      </c>
      <c r="I6" s="14">
        <f t="shared" si="3"/>
        <v>10</v>
      </c>
      <c r="J6" s="14">
        <f t="shared" si="3"/>
        <v>1</v>
      </c>
      <c r="K6" s="14">
        <f t="shared" si="3"/>
        <v>2</v>
      </c>
      <c r="L6" s="14">
        <f t="shared" si="3"/>
        <v>1</v>
      </c>
      <c r="M6" s="14">
        <f t="shared" si="3"/>
        <v>0</v>
      </c>
      <c r="N6" s="14">
        <f t="shared" si="3"/>
        <v>0</v>
      </c>
      <c r="O6" s="14">
        <f t="shared" si="1"/>
        <v>33</v>
      </c>
      <c r="P6" s="7"/>
      <c r="Q6" s="7"/>
    </row>
    <row r="7" spans="1:17" ht="15.6" x14ac:dyDescent="0.3">
      <c r="A7" s="7"/>
      <c r="B7" s="7"/>
      <c r="C7" s="14">
        <v>164</v>
      </c>
      <c r="D7" s="14">
        <v>168</v>
      </c>
      <c r="E7" s="14">
        <f t="shared" si="2"/>
        <v>1</v>
      </c>
      <c r="F7" s="14">
        <f t="shared" si="3"/>
        <v>0</v>
      </c>
      <c r="G7" s="14">
        <f t="shared" si="3"/>
        <v>6</v>
      </c>
      <c r="H7" s="14">
        <f t="shared" si="3"/>
        <v>4</v>
      </c>
      <c r="I7" s="14">
        <f t="shared" si="3"/>
        <v>20</v>
      </c>
      <c r="J7" s="14">
        <f t="shared" si="3"/>
        <v>8</v>
      </c>
      <c r="K7" s="14">
        <f t="shared" si="3"/>
        <v>2</v>
      </c>
      <c r="L7" s="14">
        <f t="shared" si="3"/>
        <v>3</v>
      </c>
      <c r="M7" s="14">
        <f t="shared" si="3"/>
        <v>2</v>
      </c>
      <c r="N7" s="14">
        <f t="shared" si="3"/>
        <v>1</v>
      </c>
      <c r="O7" s="14">
        <f t="shared" si="1"/>
        <v>47</v>
      </c>
      <c r="P7" s="7"/>
      <c r="Q7" s="7"/>
    </row>
    <row r="8" spans="1:17" ht="15.6" x14ac:dyDescent="0.3">
      <c r="A8" s="7"/>
      <c r="B8" s="7"/>
      <c r="C8" s="14">
        <v>168</v>
      </c>
      <c r="D8" s="14">
        <v>172</v>
      </c>
      <c r="E8" s="14">
        <f t="shared" si="2"/>
        <v>0</v>
      </c>
      <c r="F8" s="14">
        <f t="shared" si="3"/>
        <v>0</v>
      </c>
      <c r="G8" s="14">
        <f t="shared" si="3"/>
        <v>0</v>
      </c>
      <c r="H8" s="14">
        <f t="shared" si="3"/>
        <v>3</v>
      </c>
      <c r="I8" s="14">
        <f t="shared" si="3"/>
        <v>15</v>
      </c>
      <c r="J8" s="14">
        <f t="shared" si="3"/>
        <v>21</v>
      </c>
      <c r="K8" s="14">
        <f t="shared" si="3"/>
        <v>7</v>
      </c>
      <c r="L8" s="14">
        <f t="shared" si="3"/>
        <v>5</v>
      </c>
      <c r="M8" s="14">
        <f t="shared" si="3"/>
        <v>5</v>
      </c>
      <c r="N8" s="14">
        <f t="shared" si="3"/>
        <v>1</v>
      </c>
      <c r="O8" s="14">
        <f t="shared" si="1"/>
        <v>57</v>
      </c>
      <c r="P8" s="7"/>
      <c r="Q8" s="7"/>
    </row>
    <row r="9" spans="1:17" ht="15.6" x14ac:dyDescent="0.3">
      <c r="A9" s="7" t="s">
        <v>151</v>
      </c>
      <c r="B9" s="7"/>
      <c r="C9" s="14">
        <v>172</v>
      </c>
      <c r="D9" s="14">
        <v>176</v>
      </c>
      <c r="E9" s="14">
        <f t="shared" si="2"/>
        <v>0</v>
      </c>
      <c r="F9" s="14">
        <f t="shared" si="3"/>
        <v>0</v>
      </c>
      <c r="G9" s="14">
        <f t="shared" si="3"/>
        <v>0</v>
      </c>
      <c r="H9" s="14">
        <f t="shared" si="3"/>
        <v>1</v>
      </c>
      <c r="I9" s="14">
        <f t="shared" si="3"/>
        <v>5</v>
      </c>
      <c r="J9" s="14">
        <f t="shared" si="3"/>
        <v>8</v>
      </c>
      <c r="K9" s="14">
        <f t="shared" si="3"/>
        <v>3</v>
      </c>
      <c r="L9" s="14">
        <f t="shared" si="3"/>
        <v>4</v>
      </c>
      <c r="M9" s="14">
        <f t="shared" si="3"/>
        <v>3</v>
      </c>
      <c r="N9" s="14">
        <f t="shared" si="3"/>
        <v>3</v>
      </c>
      <c r="O9" s="14">
        <f t="shared" si="1"/>
        <v>27</v>
      </c>
      <c r="P9" s="7"/>
      <c r="Q9" s="7"/>
    </row>
    <row r="10" spans="1:17" ht="15.6" x14ac:dyDescent="0.3">
      <c r="A10" s="7" t="s">
        <v>175</v>
      </c>
      <c r="B10" s="7"/>
      <c r="C10" s="14">
        <v>176</v>
      </c>
      <c r="D10" s="14">
        <v>180</v>
      </c>
      <c r="E10" s="14">
        <f t="shared" si="2"/>
        <v>0</v>
      </c>
      <c r="F10" s="14">
        <f t="shared" si="3"/>
        <v>0</v>
      </c>
      <c r="G10" s="14">
        <f t="shared" si="3"/>
        <v>0</v>
      </c>
      <c r="H10" s="14">
        <f t="shared" si="3"/>
        <v>0</v>
      </c>
      <c r="I10" s="14">
        <f t="shared" si="3"/>
        <v>1</v>
      </c>
      <c r="J10" s="14">
        <f t="shared" si="3"/>
        <v>5</v>
      </c>
      <c r="K10" s="14">
        <f t="shared" si="3"/>
        <v>2</v>
      </c>
      <c r="L10" s="14">
        <f t="shared" si="3"/>
        <v>5</v>
      </c>
      <c r="M10" s="14">
        <f t="shared" si="3"/>
        <v>2</v>
      </c>
      <c r="N10" s="14">
        <f t="shared" si="3"/>
        <v>4</v>
      </c>
      <c r="O10" s="14">
        <f t="shared" si="1"/>
        <v>19</v>
      </c>
      <c r="P10" s="7"/>
      <c r="Q10" s="7"/>
    </row>
    <row r="11" spans="1:17" ht="15.6" x14ac:dyDescent="0.3">
      <c r="A11" s="7" t="s">
        <v>176</v>
      </c>
      <c r="B11" s="7"/>
      <c r="C11" s="14">
        <v>180</v>
      </c>
      <c r="D11" s="14">
        <v>184</v>
      </c>
      <c r="E11" s="14">
        <f t="shared" si="2"/>
        <v>0</v>
      </c>
      <c r="F11" s="14">
        <f t="shared" si="3"/>
        <v>0</v>
      </c>
      <c r="G11" s="14">
        <f t="shared" si="3"/>
        <v>0</v>
      </c>
      <c r="H11" s="14">
        <f t="shared" si="3"/>
        <v>0</v>
      </c>
      <c r="I11" s="14">
        <f t="shared" si="3"/>
        <v>0</v>
      </c>
      <c r="J11" s="14">
        <f t="shared" si="3"/>
        <v>1</v>
      </c>
      <c r="K11" s="14">
        <f t="shared" si="3"/>
        <v>1</v>
      </c>
      <c r="L11" s="14">
        <f t="shared" si="3"/>
        <v>0</v>
      </c>
      <c r="M11" s="14">
        <f t="shared" si="3"/>
        <v>1</v>
      </c>
      <c r="N11" s="14">
        <f t="shared" si="3"/>
        <v>0</v>
      </c>
      <c r="O11" s="14">
        <f t="shared" si="1"/>
        <v>3</v>
      </c>
      <c r="P11" s="7"/>
      <c r="Q11" s="7"/>
    </row>
    <row r="12" spans="1:17" ht="15.6" x14ac:dyDescent="0.3">
      <c r="A12" s="11" t="s">
        <v>177</v>
      </c>
      <c r="B12" s="7"/>
      <c r="C12" s="14">
        <v>184</v>
      </c>
      <c r="D12" s="14">
        <v>188</v>
      </c>
      <c r="E12" s="14">
        <f t="shared" si="2"/>
        <v>0</v>
      </c>
      <c r="F12" s="14">
        <f t="shared" si="3"/>
        <v>0</v>
      </c>
      <c r="G12" s="14">
        <f t="shared" si="3"/>
        <v>0</v>
      </c>
      <c r="H12" s="14">
        <f t="shared" si="3"/>
        <v>0</v>
      </c>
      <c r="I12" s="14">
        <f t="shared" si="3"/>
        <v>0</v>
      </c>
      <c r="J12" s="14">
        <f t="shared" si="3"/>
        <v>0</v>
      </c>
      <c r="K12" s="14">
        <f t="shared" si="3"/>
        <v>0</v>
      </c>
      <c r="L12" s="14">
        <f t="shared" si="3"/>
        <v>1</v>
      </c>
      <c r="M12" s="14">
        <f t="shared" si="3"/>
        <v>0</v>
      </c>
      <c r="N12" s="14">
        <f t="shared" si="3"/>
        <v>0</v>
      </c>
      <c r="O12" s="14">
        <f t="shared" si="1"/>
        <v>1</v>
      </c>
      <c r="P12" s="7"/>
      <c r="Q12" s="7"/>
    </row>
    <row r="13" spans="1:17" ht="15.6" x14ac:dyDescent="0.3">
      <c r="A13" s="7"/>
      <c r="B13" s="7"/>
      <c r="C13" s="14">
        <v>188</v>
      </c>
      <c r="D13" s="14">
        <v>192</v>
      </c>
      <c r="E13" s="14">
        <f t="shared" si="2"/>
        <v>0</v>
      </c>
      <c r="F13" s="14">
        <f t="shared" si="3"/>
        <v>0</v>
      </c>
      <c r="G13" s="14">
        <f t="shared" si="3"/>
        <v>0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14">
        <f t="shared" si="3"/>
        <v>0</v>
      </c>
      <c r="N13" s="14">
        <f t="shared" si="3"/>
        <v>1</v>
      </c>
      <c r="O13" s="14">
        <f t="shared" si="1"/>
        <v>1</v>
      </c>
      <c r="P13" s="7"/>
      <c r="Q13" s="7"/>
    </row>
    <row r="14" spans="1:17" ht="15.6" x14ac:dyDescent="0.3">
      <c r="A14" s="7"/>
      <c r="B14" s="7"/>
      <c r="C14" s="14">
        <v>192</v>
      </c>
      <c r="D14" s="14">
        <v>196</v>
      </c>
      <c r="E14" s="14">
        <f t="shared" si="2"/>
        <v>0</v>
      </c>
      <c r="F14" s="14">
        <f t="shared" si="3"/>
        <v>0</v>
      </c>
      <c r="G14" s="14">
        <f t="shared" si="3"/>
        <v>0</v>
      </c>
      <c r="H14" s="14">
        <f t="shared" si="3"/>
        <v>1</v>
      </c>
      <c r="I14" s="14">
        <f t="shared" si="3"/>
        <v>0</v>
      </c>
      <c r="J14" s="14">
        <f t="shared" si="3"/>
        <v>0</v>
      </c>
      <c r="K14" s="14">
        <f t="shared" si="3"/>
        <v>0</v>
      </c>
      <c r="L14" s="14">
        <f t="shared" si="3"/>
        <v>0</v>
      </c>
      <c r="M14" s="14">
        <f t="shared" si="3"/>
        <v>0</v>
      </c>
      <c r="N14" s="14">
        <f t="shared" si="3"/>
        <v>0</v>
      </c>
      <c r="O14" s="14">
        <f t="shared" si="1"/>
        <v>1</v>
      </c>
      <c r="P14" s="7"/>
      <c r="Q14" s="7"/>
    </row>
    <row r="15" spans="1:17" ht="15.6" x14ac:dyDescent="0.3">
      <c r="A15" s="7"/>
      <c r="B15" s="7"/>
      <c r="C15" s="15" t="s">
        <v>145</v>
      </c>
      <c r="D15" s="15"/>
      <c r="E15" s="14">
        <f t="shared" ref="E15:N15" si="4">SUM(E5:E14)</f>
        <v>5</v>
      </c>
      <c r="F15" s="14">
        <f t="shared" si="4"/>
        <v>6</v>
      </c>
      <c r="G15" s="14">
        <f t="shared" si="4"/>
        <v>12</v>
      </c>
      <c r="H15" s="14">
        <f t="shared" si="4"/>
        <v>20</v>
      </c>
      <c r="I15" s="14">
        <f t="shared" si="4"/>
        <v>54</v>
      </c>
      <c r="J15" s="14">
        <f t="shared" si="4"/>
        <v>44</v>
      </c>
      <c r="K15" s="14">
        <f t="shared" si="4"/>
        <v>17</v>
      </c>
      <c r="L15" s="14">
        <f t="shared" si="4"/>
        <v>19</v>
      </c>
      <c r="M15" s="14">
        <f t="shared" si="4"/>
        <v>13</v>
      </c>
      <c r="N15" s="14">
        <f t="shared" si="4"/>
        <v>10</v>
      </c>
      <c r="O15" s="7"/>
      <c r="P15" s="7"/>
      <c r="Q15" s="7"/>
    </row>
    <row r="16" spans="1:17" ht="15.6" x14ac:dyDescent="0.3">
      <c r="A16" s="7" t="s">
        <v>152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15.6" x14ac:dyDescent="0.3">
      <c r="A17" s="7" t="s">
        <v>154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15.6" x14ac:dyDescent="0.3">
      <c r="A18" s="11" t="s">
        <v>153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t="15.6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ht="15.6" x14ac:dyDescent="0.3">
      <c r="A20" s="8" t="s">
        <v>155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 t="s">
        <v>16</v>
      </c>
      <c r="P20" s="7"/>
      <c r="Q20" s="7"/>
    </row>
    <row r="21" spans="1:17" ht="15.6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6" x14ac:dyDescent="0.3">
      <c r="A22" s="7"/>
      <c r="B22" s="7"/>
      <c r="C22" s="15" t="s">
        <v>121</v>
      </c>
      <c r="D22" s="15"/>
      <c r="E22" s="18">
        <f>AVERAGE(E3:E4)</f>
        <v>49.6</v>
      </c>
      <c r="F22" s="18">
        <f t="shared" ref="F22:N22" si="5">AVERAGE(F3:F4)</f>
        <v>52.800000000000004</v>
      </c>
      <c r="G22" s="18">
        <f t="shared" si="5"/>
        <v>56.000000000000007</v>
      </c>
      <c r="H22" s="18">
        <f t="shared" si="5"/>
        <v>59.20000000000001</v>
      </c>
      <c r="I22" s="18">
        <f t="shared" si="5"/>
        <v>62.400000000000013</v>
      </c>
      <c r="J22" s="18">
        <f t="shared" si="5"/>
        <v>65.600000000000023</v>
      </c>
      <c r="K22" s="18">
        <f t="shared" si="5"/>
        <v>68.800000000000011</v>
      </c>
      <c r="L22" s="18">
        <f t="shared" si="5"/>
        <v>72.000000000000028</v>
      </c>
      <c r="M22" s="18">
        <f t="shared" si="5"/>
        <v>75.200000000000017</v>
      </c>
      <c r="N22" s="18">
        <f t="shared" si="5"/>
        <v>78.400000000000034</v>
      </c>
      <c r="O22" s="15" t="s">
        <v>144</v>
      </c>
      <c r="P22" s="14" t="s">
        <v>146</v>
      </c>
      <c r="Q22" s="14">
        <f>SUM(O24:O33)</f>
        <v>200</v>
      </c>
    </row>
    <row r="23" spans="1:17" ht="15.6" x14ac:dyDescent="0.3">
      <c r="A23" s="7"/>
      <c r="B23" s="7"/>
      <c r="C23" s="15"/>
      <c r="D23" s="15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5"/>
      <c r="P23" s="19" t="str">
        <f>"-y_x"</f>
        <v>-y_x</v>
      </c>
      <c r="Q23" s="14" t="s">
        <v>147</v>
      </c>
    </row>
    <row r="24" spans="1:17" ht="15.6" x14ac:dyDescent="0.3">
      <c r="A24" s="7"/>
      <c r="B24" s="7"/>
      <c r="C24" s="15">
        <f>AVERAGE(C5:D5)</f>
        <v>158</v>
      </c>
      <c r="D24" s="15"/>
      <c r="E24" s="14">
        <v>2</v>
      </c>
      <c r="F24" s="14">
        <v>2</v>
      </c>
      <c r="G24" s="14">
        <v>1</v>
      </c>
      <c r="H24" s="14">
        <v>3</v>
      </c>
      <c r="I24" s="14">
        <v>3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11</v>
      </c>
      <c r="P24" s="14">
        <f>1/O24 *SUMPRODUCT($E$22:$N$22, E24:N24)</f>
        <v>56.872727272727289</v>
      </c>
      <c r="Q24" s="14">
        <f>1/O24 *SUMPRODUCT($E$22:$N$22,$E$22:$N$22,E24:N24) - P24*P24</f>
        <v>22.5110743801647</v>
      </c>
    </row>
    <row r="25" spans="1:17" ht="15.6" x14ac:dyDescent="0.3">
      <c r="A25" s="7"/>
      <c r="B25" s="7"/>
      <c r="C25" s="15">
        <f t="shared" ref="C25:C33" si="6">AVERAGE(C6:D6)</f>
        <v>162</v>
      </c>
      <c r="D25" s="15"/>
      <c r="E25" s="14">
        <v>2</v>
      </c>
      <c r="F25" s="14">
        <v>4</v>
      </c>
      <c r="G25" s="14">
        <v>5</v>
      </c>
      <c r="H25" s="14">
        <v>8</v>
      </c>
      <c r="I25" s="14">
        <v>10</v>
      </c>
      <c r="J25" s="14">
        <v>1</v>
      </c>
      <c r="K25" s="14">
        <v>2</v>
      </c>
      <c r="L25" s="14">
        <v>1</v>
      </c>
      <c r="M25" s="14">
        <v>0</v>
      </c>
      <c r="N25" s="14">
        <v>0</v>
      </c>
      <c r="O25" s="14">
        <v>33</v>
      </c>
      <c r="P25" s="14">
        <f t="shared" ref="P25:P33" si="7">1/O25 *SUMPRODUCT($E$22:$N$22, E25:N25)</f>
        <v>59.490909090909099</v>
      </c>
      <c r="Q25" s="14">
        <f t="shared" ref="Q25:Q33" si="8">1/O25 *SUMPRODUCT($E$22:$N$22,$E$22:$N$22,E25:N25) - P25*P25</f>
        <v>26.911735537189998</v>
      </c>
    </row>
    <row r="26" spans="1:17" ht="15.6" x14ac:dyDescent="0.3">
      <c r="A26" s="7"/>
      <c r="B26" s="7"/>
      <c r="C26" s="15">
        <f t="shared" si="6"/>
        <v>166</v>
      </c>
      <c r="D26" s="15"/>
      <c r="E26" s="14">
        <v>1</v>
      </c>
      <c r="F26" s="14">
        <v>0</v>
      </c>
      <c r="G26" s="14">
        <v>6</v>
      </c>
      <c r="H26" s="14">
        <v>4</v>
      </c>
      <c r="I26" s="14">
        <v>20</v>
      </c>
      <c r="J26" s="14">
        <v>8</v>
      </c>
      <c r="K26" s="14">
        <v>2</v>
      </c>
      <c r="L26" s="14">
        <v>3</v>
      </c>
      <c r="M26" s="14">
        <v>2</v>
      </c>
      <c r="N26" s="14">
        <v>1</v>
      </c>
      <c r="O26" s="14">
        <v>47</v>
      </c>
      <c r="P26" s="14">
        <f t="shared" si="7"/>
        <v>63.35319148936172</v>
      </c>
      <c r="Q26" s="14">
        <f t="shared" si="8"/>
        <v>30.465043005885036</v>
      </c>
    </row>
    <row r="27" spans="1:17" ht="15.6" x14ac:dyDescent="0.3">
      <c r="A27" s="7"/>
      <c r="B27" s="7"/>
      <c r="C27" s="15">
        <f t="shared" si="6"/>
        <v>170</v>
      </c>
      <c r="D27" s="15"/>
      <c r="E27" s="14">
        <v>0</v>
      </c>
      <c r="F27" s="14">
        <v>0</v>
      </c>
      <c r="G27" s="14">
        <v>0</v>
      </c>
      <c r="H27" s="14">
        <v>3</v>
      </c>
      <c r="I27" s="14">
        <v>15</v>
      </c>
      <c r="J27" s="14">
        <v>21</v>
      </c>
      <c r="K27" s="14">
        <v>7</v>
      </c>
      <c r="L27" s="14">
        <v>5</v>
      </c>
      <c r="M27" s="14">
        <v>5</v>
      </c>
      <c r="N27" s="14">
        <v>1</v>
      </c>
      <c r="O27" s="14">
        <v>57</v>
      </c>
      <c r="P27" s="14">
        <f t="shared" si="7"/>
        <v>66.442105263157899</v>
      </c>
      <c r="Q27" s="14">
        <f t="shared" si="8"/>
        <v>19.950507848569941</v>
      </c>
    </row>
    <row r="28" spans="1:17" ht="15.6" x14ac:dyDescent="0.3">
      <c r="A28" s="7"/>
      <c r="B28" s="7"/>
      <c r="C28" s="15">
        <f t="shared" si="6"/>
        <v>174</v>
      </c>
      <c r="D28" s="15"/>
      <c r="E28" s="14">
        <v>0</v>
      </c>
      <c r="F28" s="14">
        <v>0</v>
      </c>
      <c r="G28" s="14">
        <v>0</v>
      </c>
      <c r="H28" s="14">
        <v>1</v>
      </c>
      <c r="I28" s="14">
        <v>5</v>
      </c>
      <c r="J28" s="14">
        <v>8</v>
      </c>
      <c r="K28" s="14">
        <v>3</v>
      </c>
      <c r="L28" s="14">
        <v>4</v>
      </c>
      <c r="M28" s="14">
        <v>3</v>
      </c>
      <c r="N28" s="14">
        <v>3</v>
      </c>
      <c r="O28" s="14">
        <v>27</v>
      </c>
      <c r="P28" s="14">
        <f t="shared" si="7"/>
        <v>68.562962962962985</v>
      </c>
      <c r="Q28" s="14">
        <f t="shared" si="8"/>
        <v>30.28455418381327</v>
      </c>
    </row>
    <row r="29" spans="1:17" ht="15.6" x14ac:dyDescent="0.3">
      <c r="A29" s="7"/>
      <c r="B29" s="7"/>
      <c r="C29" s="15">
        <f t="shared" si="6"/>
        <v>178</v>
      </c>
      <c r="D29" s="15"/>
      <c r="E29" s="14">
        <v>0</v>
      </c>
      <c r="F29" s="14">
        <v>0</v>
      </c>
      <c r="G29" s="14">
        <v>0</v>
      </c>
      <c r="H29" s="14">
        <v>0</v>
      </c>
      <c r="I29" s="14">
        <v>1</v>
      </c>
      <c r="J29" s="14">
        <v>5</v>
      </c>
      <c r="K29" s="14">
        <v>2</v>
      </c>
      <c r="L29" s="14">
        <v>5</v>
      </c>
      <c r="M29" s="14">
        <v>2</v>
      </c>
      <c r="N29" s="14">
        <v>4</v>
      </c>
      <c r="O29" s="14">
        <v>19</v>
      </c>
      <c r="P29" s="14">
        <f t="shared" si="7"/>
        <v>71.157894736842124</v>
      </c>
      <c r="Q29" s="14">
        <f t="shared" si="8"/>
        <v>25.699279778393247</v>
      </c>
    </row>
    <row r="30" spans="1:17" ht="15.6" x14ac:dyDescent="0.3">
      <c r="A30" s="7"/>
      <c r="B30" s="7"/>
      <c r="C30" s="15">
        <f t="shared" si="6"/>
        <v>182</v>
      </c>
      <c r="D30" s="15"/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1</v>
      </c>
      <c r="K30" s="14">
        <v>1</v>
      </c>
      <c r="L30" s="14">
        <v>0</v>
      </c>
      <c r="M30" s="14">
        <v>1</v>
      </c>
      <c r="N30" s="14">
        <v>0</v>
      </c>
      <c r="O30" s="14">
        <v>3</v>
      </c>
      <c r="P30" s="14">
        <f t="shared" si="7"/>
        <v>69.866666666666674</v>
      </c>
      <c r="Q30" s="14">
        <f t="shared" si="8"/>
        <v>15.928888888890469</v>
      </c>
    </row>
    <row r="31" spans="1:17" ht="15.6" x14ac:dyDescent="0.3">
      <c r="A31" s="7"/>
      <c r="B31" s="7"/>
      <c r="C31" s="15">
        <f t="shared" si="6"/>
        <v>186</v>
      </c>
      <c r="D31" s="15"/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1</v>
      </c>
      <c r="M31" s="14">
        <v>0</v>
      </c>
      <c r="N31" s="14">
        <v>0</v>
      </c>
      <c r="O31" s="14">
        <v>1</v>
      </c>
      <c r="P31" s="14">
        <f t="shared" si="7"/>
        <v>72.000000000000028</v>
      </c>
      <c r="Q31" s="14">
        <f t="shared" si="8"/>
        <v>0</v>
      </c>
    </row>
    <row r="32" spans="1:17" ht="15.6" x14ac:dyDescent="0.3">
      <c r="A32" s="7"/>
      <c r="B32" s="7"/>
      <c r="C32" s="15">
        <f t="shared" si="6"/>
        <v>190</v>
      </c>
      <c r="D32" s="15"/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1</v>
      </c>
      <c r="O32" s="14">
        <v>1</v>
      </c>
      <c r="P32" s="14">
        <f t="shared" si="7"/>
        <v>78.400000000000034</v>
      </c>
      <c r="Q32" s="14">
        <f t="shared" si="8"/>
        <v>0</v>
      </c>
    </row>
    <row r="33" spans="1:17" ht="15.6" x14ac:dyDescent="0.3">
      <c r="A33" s="7"/>
      <c r="B33" s="7"/>
      <c r="C33" s="15">
        <f t="shared" si="6"/>
        <v>194</v>
      </c>
      <c r="D33" s="15"/>
      <c r="E33" s="14">
        <v>0</v>
      </c>
      <c r="F33" s="14">
        <v>0</v>
      </c>
      <c r="G33" s="14">
        <v>0</v>
      </c>
      <c r="H33" s="14">
        <v>1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1</v>
      </c>
      <c r="P33" s="14">
        <f t="shared" si="7"/>
        <v>59.20000000000001</v>
      </c>
      <c r="Q33" s="14">
        <f t="shared" si="8"/>
        <v>0</v>
      </c>
    </row>
    <row r="34" spans="1:17" ht="15.6" x14ac:dyDescent="0.3">
      <c r="A34" s="7"/>
      <c r="B34" s="7"/>
      <c r="C34" s="15" t="s">
        <v>145</v>
      </c>
      <c r="D34" s="15"/>
      <c r="E34" s="14">
        <v>5</v>
      </c>
      <c r="F34" s="14">
        <v>6</v>
      </c>
      <c r="G34" s="14">
        <v>12</v>
      </c>
      <c r="H34" s="14">
        <v>20</v>
      </c>
      <c r="I34" s="14">
        <v>54</v>
      </c>
      <c r="J34" s="14">
        <v>44</v>
      </c>
      <c r="K34" s="14">
        <v>17</v>
      </c>
      <c r="L34" s="14">
        <v>19</v>
      </c>
      <c r="M34" s="14">
        <v>13</v>
      </c>
      <c r="N34" s="14">
        <v>10</v>
      </c>
      <c r="O34" s="7"/>
      <c r="P34" s="7"/>
      <c r="Q34" s="7"/>
    </row>
    <row r="35" spans="1:17" ht="15.6" x14ac:dyDescent="0.3">
      <c r="A35" s="7"/>
      <c r="B35" s="7"/>
      <c r="C35" s="14" t="s">
        <v>146</v>
      </c>
      <c r="D35" s="20">
        <f>SUM(E34:N34)</f>
        <v>200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ht="15.6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ht="15.6" x14ac:dyDescent="0.3">
      <c r="A37" s="7"/>
      <c r="B37" s="7"/>
      <c r="C37" s="7"/>
      <c r="D37" s="7"/>
      <c r="E37" s="7" t="str">
        <f>"-y"</f>
        <v>-y</v>
      </c>
      <c r="F37" s="7"/>
      <c r="G37" s="21" t="s">
        <v>148</v>
      </c>
      <c r="H37" s="7"/>
      <c r="I37" s="21" t="s">
        <v>149</v>
      </c>
      <c r="J37" s="7"/>
      <c r="K37" s="21" t="s">
        <v>150</v>
      </c>
      <c r="L37" s="7"/>
      <c r="M37" s="7"/>
      <c r="N37" s="7"/>
      <c r="O37" s="7"/>
      <c r="P37" s="7"/>
      <c r="Q37" s="7"/>
    </row>
    <row r="38" spans="1:17" ht="15.6" x14ac:dyDescent="0.3">
      <c r="A38" s="7"/>
      <c r="B38" s="7"/>
      <c r="C38" s="7"/>
      <c r="D38" s="7"/>
      <c r="E38" s="7">
        <f>1/200*SUMPRODUCT(O24:O33,P24:P33)</f>
        <v>64.880000000000024</v>
      </c>
      <c r="F38" s="7"/>
      <c r="G38" s="21">
        <f>SUMPRODUCT(O24:O33,Q24:Q33)/200</f>
        <v>25.292505024866333</v>
      </c>
      <c r="H38" s="7"/>
      <c r="I38" s="21">
        <f>1/200 * SUMPRODUCT(O24:O33, P24:P33,P24:P33) - E38*E38</f>
        <v>16.838694975132967</v>
      </c>
      <c r="J38" s="7"/>
      <c r="K38" s="21">
        <f>G38+I38</f>
        <v>42.131199999999296</v>
      </c>
      <c r="L38" s="7"/>
      <c r="M38" s="7"/>
      <c r="N38" s="7"/>
      <c r="O38" s="7"/>
      <c r="P38" s="7"/>
      <c r="Q38" s="7"/>
    </row>
  </sheetData>
  <mergeCells count="26">
    <mergeCell ref="C34:D34"/>
    <mergeCell ref="C15:D15"/>
    <mergeCell ref="F22:F23"/>
    <mergeCell ref="G22:G23"/>
    <mergeCell ref="C33:D33"/>
    <mergeCell ref="C29:D29"/>
    <mergeCell ref="C30:D30"/>
    <mergeCell ref="C31:D31"/>
    <mergeCell ref="C32:D32"/>
    <mergeCell ref="E22:E23"/>
    <mergeCell ref="C22:D23"/>
    <mergeCell ref="C24:D24"/>
    <mergeCell ref="C25:D25"/>
    <mergeCell ref="C26:D26"/>
    <mergeCell ref="C27:D27"/>
    <mergeCell ref="C28:D28"/>
    <mergeCell ref="O3:O4"/>
    <mergeCell ref="C3:D4"/>
    <mergeCell ref="L22:L23"/>
    <mergeCell ref="M22:M23"/>
    <mergeCell ref="N22:N23"/>
    <mergeCell ref="O22:O23"/>
    <mergeCell ref="I22:I23"/>
    <mergeCell ref="J22:J23"/>
    <mergeCell ref="K22:K23"/>
    <mergeCell ref="H22:H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AE18-DA4F-4E3E-919F-7EA849C930C7}">
  <dimension ref="A1:K11"/>
  <sheetViews>
    <sheetView workbookViewId="0">
      <selection sqref="A1:K11"/>
    </sheetView>
  </sheetViews>
  <sheetFormatPr defaultRowHeight="14.4" x14ac:dyDescent="0.3"/>
  <cols>
    <col min="1" max="1" width="58.33203125" customWidth="1"/>
  </cols>
  <sheetData>
    <row r="1" spans="1:11" ht="15.6" x14ac:dyDescent="0.3">
      <c r="A1" s="7" t="s">
        <v>107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.6" x14ac:dyDescent="0.3">
      <c r="A2" s="7" t="s">
        <v>108</v>
      </c>
      <c r="B2" s="7"/>
      <c r="C2" s="10" t="s">
        <v>148</v>
      </c>
      <c r="D2" s="10" t="s">
        <v>149</v>
      </c>
      <c r="E2" s="10" t="s">
        <v>150</v>
      </c>
      <c r="F2" s="9" t="s">
        <v>156</v>
      </c>
      <c r="G2" s="9" t="s">
        <v>157</v>
      </c>
      <c r="H2" s="7"/>
      <c r="I2" s="7"/>
      <c r="J2" s="7"/>
      <c r="K2" s="7"/>
    </row>
    <row r="3" spans="1:11" ht="15.6" x14ac:dyDescent="0.3">
      <c r="A3" s="7"/>
      <c r="B3" s="7"/>
      <c r="C3" s="9">
        <f>'11'!G38</f>
        <v>25.292505024866333</v>
      </c>
      <c r="D3" s="9">
        <f>'11'!I38</f>
        <v>16.838694975132967</v>
      </c>
      <c r="E3" s="9">
        <f>'11'!K38</f>
        <v>42.131199999999296</v>
      </c>
      <c r="F3" s="9">
        <v>0.05</v>
      </c>
      <c r="G3" s="9">
        <v>10</v>
      </c>
      <c r="H3" s="7"/>
      <c r="I3" s="7"/>
      <c r="J3" s="7"/>
      <c r="K3" s="7"/>
    </row>
    <row r="4" spans="1:11" ht="15.6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.6" x14ac:dyDescent="0.3">
      <c r="A5" s="7" t="s">
        <v>158</v>
      </c>
      <c r="B5" s="7"/>
      <c r="C5" s="7"/>
      <c r="D5" s="9" t="s">
        <v>159</v>
      </c>
      <c r="E5" s="7">
        <f>(200 - G3)/(G3- 1)*D3/C3</f>
        <v>14.054897300075522</v>
      </c>
      <c r="F5" s="7"/>
      <c r="G5" s="7"/>
      <c r="H5" s="7"/>
      <c r="I5" s="7"/>
      <c r="J5" s="7"/>
      <c r="K5" s="7"/>
    </row>
    <row r="6" spans="1:11" ht="15.6" x14ac:dyDescent="0.3">
      <c r="A6" s="7" t="s">
        <v>161</v>
      </c>
      <c r="B6" s="7"/>
      <c r="C6" s="7"/>
      <c r="D6" s="9" t="s">
        <v>160</v>
      </c>
      <c r="E6" s="9">
        <f>_xlfn.F.INV.RT(0.05, G3 - 1, 200 - 1)</f>
        <v>1.9271638602741947</v>
      </c>
      <c r="F6" s="7"/>
      <c r="G6" s="7"/>
      <c r="H6" s="7"/>
      <c r="I6" s="7"/>
      <c r="J6" s="7"/>
      <c r="K6" s="7"/>
    </row>
    <row r="7" spans="1:11" ht="15.6" x14ac:dyDescent="0.3">
      <c r="A7" s="7" t="s">
        <v>162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.6" x14ac:dyDescent="0.3">
      <c r="A8" s="8" t="s">
        <v>163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5.6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5.6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5.6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4BD7-F74D-483F-BA38-4B7778457B8C}">
  <dimension ref="A1:Q29"/>
  <sheetViews>
    <sheetView zoomScale="104" workbookViewId="0">
      <selection activeCell="D10" sqref="D10"/>
    </sheetView>
  </sheetViews>
  <sheetFormatPr defaultRowHeight="14.4" x14ac:dyDescent="0.3"/>
  <cols>
    <col min="1" max="1" width="58.33203125" customWidth="1"/>
    <col min="2" max="2" width="23.6640625" bestFit="1" customWidth="1"/>
    <col min="3" max="3" width="13.77734375" bestFit="1" customWidth="1"/>
  </cols>
  <sheetData>
    <row r="1" spans="1:17" ht="15.6" x14ac:dyDescent="0.3">
      <c r="A1" s="7" t="s">
        <v>109</v>
      </c>
    </row>
    <row r="2" spans="1:17" ht="15.6" x14ac:dyDescent="0.3">
      <c r="A2" s="7" t="s">
        <v>110</v>
      </c>
    </row>
    <row r="3" spans="1:17" ht="15.6" x14ac:dyDescent="0.3">
      <c r="A3" s="7" t="s">
        <v>111</v>
      </c>
    </row>
    <row r="4" spans="1:17" ht="15.6" x14ac:dyDescent="0.3">
      <c r="A4" s="7" t="s">
        <v>112</v>
      </c>
    </row>
    <row r="5" spans="1:17" ht="15.6" x14ac:dyDescent="0.3">
      <c r="A5" s="7"/>
      <c r="E5" s="9" t="s">
        <v>121</v>
      </c>
      <c r="F5" s="1">
        <v>49.6</v>
      </c>
      <c r="G5" s="1">
        <v>52.800000000000004</v>
      </c>
      <c r="H5" s="1">
        <v>56.000000000000007</v>
      </c>
      <c r="I5" s="1">
        <v>59.20000000000001</v>
      </c>
      <c r="J5" s="1">
        <v>62.400000000000013</v>
      </c>
      <c r="K5" s="1">
        <v>65.600000000000023</v>
      </c>
      <c r="L5" s="1">
        <v>68.800000000000011</v>
      </c>
      <c r="M5" s="1">
        <v>72.000000000000028</v>
      </c>
      <c r="N5" s="1">
        <v>75.200000000000017</v>
      </c>
      <c r="O5" s="1">
        <v>78.400000000000034</v>
      </c>
      <c r="P5" s="1" t="s">
        <v>144</v>
      </c>
    </row>
    <row r="6" spans="1:17" ht="15.6" x14ac:dyDescent="0.3">
      <c r="A6" s="7"/>
      <c r="E6" s="1">
        <v>158</v>
      </c>
      <c r="F6" s="1">
        <v>2</v>
      </c>
      <c r="G6" s="1">
        <v>2</v>
      </c>
      <c r="H6" s="1">
        <v>1</v>
      </c>
      <c r="I6" s="1">
        <v>3</v>
      </c>
      <c r="J6" s="1">
        <v>3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11</v>
      </c>
      <c r="Q6">
        <f>SUMPRODUCT(F6:O6,$F$5:$O$5) *E6</f>
        <v>98844.800000000017</v>
      </c>
    </row>
    <row r="7" spans="1:17" ht="15.6" x14ac:dyDescent="0.3">
      <c r="A7" s="8" t="s">
        <v>181</v>
      </c>
      <c r="E7" s="1">
        <v>162</v>
      </c>
      <c r="F7" s="1">
        <v>2</v>
      </c>
      <c r="G7" s="1">
        <v>4</v>
      </c>
      <c r="H7" s="1">
        <v>5</v>
      </c>
      <c r="I7" s="1">
        <v>8</v>
      </c>
      <c r="J7" s="1">
        <v>10</v>
      </c>
      <c r="K7" s="1">
        <v>1</v>
      </c>
      <c r="L7" s="1">
        <v>2</v>
      </c>
      <c r="M7" s="1">
        <v>1</v>
      </c>
      <c r="N7" s="1">
        <v>0</v>
      </c>
      <c r="O7" s="1">
        <v>0</v>
      </c>
      <c r="P7" s="1">
        <v>33</v>
      </c>
      <c r="Q7">
        <f t="shared" ref="Q7:Q14" si="0">SUMPRODUCT(F7:O7,$F$5:$O$5) *E7</f>
        <v>318038.40000000002</v>
      </c>
    </row>
    <row r="8" spans="1:17" ht="15.6" x14ac:dyDescent="0.3">
      <c r="A8" s="8" t="s">
        <v>182</v>
      </c>
      <c r="E8" s="1">
        <v>166</v>
      </c>
      <c r="F8" s="1">
        <v>1</v>
      </c>
      <c r="G8" s="1">
        <v>0</v>
      </c>
      <c r="H8" s="1">
        <v>6</v>
      </c>
      <c r="I8" s="1">
        <v>4</v>
      </c>
      <c r="J8" s="1">
        <v>20</v>
      </c>
      <c r="K8" s="1">
        <v>8</v>
      </c>
      <c r="L8" s="1">
        <v>2</v>
      </c>
      <c r="M8" s="1">
        <v>3</v>
      </c>
      <c r="N8" s="1">
        <v>2</v>
      </c>
      <c r="O8" s="1">
        <v>1</v>
      </c>
      <c r="P8" s="1">
        <v>47</v>
      </c>
      <c r="Q8">
        <f t="shared" si="0"/>
        <v>494281.60000000015</v>
      </c>
    </row>
    <row r="9" spans="1:17" ht="15.6" x14ac:dyDescent="0.3">
      <c r="A9" s="8" t="s">
        <v>183</v>
      </c>
      <c r="E9" s="1">
        <v>170</v>
      </c>
      <c r="F9" s="1">
        <v>0</v>
      </c>
      <c r="G9" s="1">
        <v>0</v>
      </c>
      <c r="H9" s="1">
        <v>0</v>
      </c>
      <c r="I9" s="1">
        <v>3</v>
      </c>
      <c r="J9" s="1">
        <v>15</v>
      </c>
      <c r="K9" s="1">
        <v>21</v>
      </c>
      <c r="L9" s="1">
        <v>7</v>
      </c>
      <c r="M9" s="1">
        <v>5</v>
      </c>
      <c r="N9" s="1">
        <v>5</v>
      </c>
      <c r="O9" s="1">
        <v>1</v>
      </c>
      <c r="P9" s="1">
        <v>57</v>
      </c>
      <c r="Q9">
        <f t="shared" si="0"/>
        <v>643824.00000000012</v>
      </c>
    </row>
    <row r="10" spans="1:17" x14ac:dyDescent="0.3">
      <c r="E10" s="1">
        <v>174</v>
      </c>
      <c r="F10" s="1">
        <v>0</v>
      </c>
      <c r="G10" s="1">
        <v>0</v>
      </c>
      <c r="H10" s="1">
        <v>0</v>
      </c>
      <c r="I10" s="1">
        <v>1</v>
      </c>
      <c r="J10" s="1">
        <v>5</v>
      </c>
      <c r="K10" s="1">
        <v>8</v>
      </c>
      <c r="L10" s="1">
        <v>3</v>
      </c>
      <c r="M10" s="1">
        <v>4</v>
      </c>
      <c r="N10" s="1">
        <v>3</v>
      </c>
      <c r="O10" s="1">
        <v>3</v>
      </c>
      <c r="P10" s="1">
        <v>27</v>
      </c>
      <c r="Q10">
        <f t="shared" si="0"/>
        <v>322108.8000000001</v>
      </c>
    </row>
    <row r="11" spans="1:17" x14ac:dyDescent="0.3">
      <c r="E11" s="1">
        <v>178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5</v>
      </c>
      <c r="L11" s="1">
        <v>2</v>
      </c>
      <c r="M11" s="1">
        <v>5</v>
      </c>
      <c r="N11" s="1">
        <v>2</v>
      </c>
      <c r="O11" s="1">
        <v>4</v>
      </c>
      <c r="P11" s="1">
        <v>19</v>
      </c>
      <c r="Q11">
        <f t="shared" si="0"/>
        <v>240656.00000000009</v>
      </c>
    </row>
    <row r="12" spans="1:17" x14ac:dyDescent="0.3">
      <c r="E12" s="1">
        <v>182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0</v>
      </c>
      <c r="N12" s="1">
        <v>1</v>
      </c>
      <c r="O12" s="1">
        <v>0</v>
      </c>
      <c r="P12" s="1">
        <v>3</v>
      </c>
      <c r="Q12">
        <f t="shared" si="0"/>
        <v>38147.200000000012</v>
      </c>
    </row>
    <row r="13" spans="1:17" x14ac:dyDescent="0.3">
      <c r="E13" s="1">
        <v>186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1</v>
      </c>
      <c r="Q13">
        <f t="shared" si="0"/>
        <v>13392.000000000005</v>
      </c>
    </row>
    <row r="14" spans="1:17" x14ac:dyDescent="0.3">
      <c r="E14" s="1">
        <v>190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1</v>
      </c>
      <c r="Q14">
        <f t="shared" si="0"/>
        <v>14896.000000000007</v>
      </c>
    </row>
    <row r="15" spans="1:17" x14ac:dyDescent="0.3">
      <c r="E15" s="1">
        <v>194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>
        <f>SUMPRODUCT(F15:O15,$F$5:$O$5) *E15</f>
        <v>11484.800000000001</v>
      </c>
    </row>
    <row r="16" spans="1:17" x14ac:dyDescent="0.3">
      <c r="E16" s="1" t="s">
        <v>145</v>
      </c>
      <c r="F16" s="1">
        <v>5</v>
      </c>
      <c r="G16" s="1">
        <v>6</v>
      </c>
      <c r="H16" s="1">
        <v>12</v>
      </c>
      <c r="I16" s="1">
        <v>20</v>
      </c>
      <c r="J16" s="1">
        <v>54</v>
      </c>
      <c r="K16" s="1">
        <v>44</v>
      </c>
      <c r="L16" s="1">
        <v>17</v>
      </c>
      <c r="M16" s="1">
        <v>19</v>
      </c>
      <c r="N16" s="1">
        <v>13</v>
      </c>
      <c r="O16" s="1">
        <v>10</v>
      </c>
      <c r="P16" s="1"/>
    </row>
    <row r="17" spans="2:3" ht="15.6" x14ac:dyDescent="0.3">
      <c r="B17" s="9" t="s">
        <v>164</v>
      </c>
    </row>
    <row r="18" spans="2:3" ht="15.6" x14ac:dyDescent="0.3">
      <c r="B18" s="9" t="s">
        <v>172</v>
      </c>
    </row>
    <row r="19" spans="2:3" ht="15.6" x14ac:dyDescent="0.3">
      <c r="B19" s="9" t="s">
        <v>173</v>
      </c>
    </row>
    <row r="20" spans="2:3" ht="15.6" x14ac:dyDescent="0.3">
      <c r="B20" s="9" t="s">
        <v>165</v>
      </c>
      <c r="C20">
        <f>'4'!Q2</f>
        <v>168.86</v>
      </c>
    </row>
    <row r="21" spans="2:3" ht="15.6" x14ac:dyDescent="0.3">
      <c r="B21" s="9" t="s">
        <v>166</v>
      </c>
      <c r="C21">
        <f>'4'!AG2</f>
        <v>64.880000000000024</v>
      </c>
    </row>
    <row r="22" spans="2:3" x14ac:dyDescent="0.3">
      <c r="B22" s="1" t="s">
        <v>169</v>
      </c>
      <c r="C22">
        <f>SQRT('4'!Q3)</f>
        <v>6.1237570167338591</v>
      </c>
    </row>
    <row r="23" spans="2:3" x14ac:dyDescent="0.3">
      <c r="B23" s="1" t="s">
        <v>170</v>
      </c>
      <c r="C23">
        <f>SQRT('4'!AG3)</f>
        <v>6.4908551054540498</v>
      </c>
    </row>
    <row r="24" spans="2:3" x14ac:dyDescent="0.3">
      <c r="B24" s="1" t="s">
        <v>171</v>
      </c>
      <c r="C24">
        <f>SUM(Q6:Q15)/200</f>
        <v>10978.368000000002</v>
      </c>
    </row>
    <row r="25" spans="2:3" x14ac:dyDescent="0.3">
      <c r="B25" s="1" t="s">
        <v>167</v>
      </c>
      <c r="C25">
        <f>(C24-C21*C20)/(C22^2)</f>
        <v>0.60615886763869853</v>
      </c>
    </row>
    <row r="26" spans="2:3" x14ac:dyDescent="0.3">
      <c r="B26" s="1" t="s">
        <v>168</v>
      </c>
      <c r="C26">
        <f>C21-C25*C20</f>
        <v>-37.47598638947062</v>
      </c>
    </row>
    <row r="28" spans="2:3" x14ac:dyDescent="0.3">
      <c r="B28" s="1" t="s">
        <v>174</v>
      </c>
      <c r="C28">
        <f>(C24-C20*C21)/(C22*C23)</f>
        <v>0.57187682649684868</v>
      </c>
    </row>
    <row r="29" spans="2:3" x14ac:dyDescent="0.3">
      <c r="B29" s="1" t="s">
        <v>179</v>
      </c>
      <c r="C29" t="s">
        <v>180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955C-A6A0-4E6C-9B89-94346FF542CF}">
  <dimension ref="A1:R8"/>
  <sheetViews>
    <sheetView zoomScale="83" workbookViewId="0">
      <selection activeCell="A15" sqref="A15"/>
    </sheetView>
  </sheetViews>
  <sheetFormatPr defaultRowHeight="14.4" x14ac:dyDescent="0.3"/>
  <cols>
    <col min="1" max="1" width="52.21875" customWidth="1"/>
    <col min="13" max="13" width="9" customWidth="1"/>
  </cols>
  <sheetData>
    <row r="1" spans="1:18" ht="15.6" x14ac:dyDescent="0.3">
      <c r="A1" s="7" t="s">
        <v>115</v>
      </c>
    </row>
    <row r="2" spans="1:18" ht="15.6" x14ac:dyDescent="0.3">
      <c r="A2" s="7" t="s">
        <v>235</v>
      </c>
      <c r="F2" s="4" t="s">
        <v>194</v>
      </c>
      <c r="G2" s="4"/>
      <c r="O2" t="s">
        <v>186</v>
      </c>
    </row>
    <row r="3" spans="1:18" x14ac:dyDescent="0.3">
      <c r="B3" s="1" t="s">
        <v>185</v>
      </c>
      <c r="C3" s="1" cm="1">
        <f t="array" ref="C3:L3">TRANSPOSE('10'!Q17:Q26)</f>
        <v>56.872727272727282</v>
      </c>
      <c r="D3" s="1">
        <v>59.490909090909099</v>
      </c>
      <c r="E3" s="1">
        <v>63.35319148936172</v>
      </c>
      <c r="F3" s="1">
        <v>66.442105263157913</v>
      </c>
      <c r="G3" s="1">
        <v>68.562962962962985</v>
      </c>
      <c r="H3" s="1">
        <v>71.157894736842124</v>
      </c>
      <c r="I3" s="1">
        <v>69.866666666666688</v>
      </c>
      <c r="J3" s="1">
        <v>72.000000000000028</v>
      </c>
      <c r="K3" s="1">
        <v>78.400000000000034</v>
      </c>
      <c r="L3" s="1">
        <v>59.20000000000001</v>
      </c>
      <c r="O3">
        <f>O4*$C$8 + $C$7</f>
        <v>57.084796962166351</v>
      </c>
      <c r="P3">
        <f>P4*$C$8 + $C$7</f>
        <v>62.722074431206252</v>
      </c>
      <c r="Q3">
        <f>Q4*$C$8 + $C$7</f>
        <v>66.055948203219089</v>
      </c>
      <c r="R3">
        <f>R4*C8+C7</f>
        <v>82.240389969172341</v>
      </c>
    </row>
    <row r="4" spans="1:18" x14ac:dyDescent="0.3">
      <c r="B4" s="1" t="s">
        <v>184</v>
      </c>
      <c r="C4" s="1" cm="1">
        <f t="array" ref="C4:L4">TRANSPOSE('10'!E17:E26)</f>
        <v>158</v>
      </c>
      <c r="D4" s="1">
        <v>162</v>
      </c>
      <c r="E4" s="1">
        <v>166</v>
      </c>
      <c r="F4" s="1">
        <v>170</v>
      </c>
      <c r="G4" s="1">
        <v>174</v>
      </c>
      <c r="H4" s="1">
        <v>178</v>
      </c>
      <c r="I4" s="1">
        <v>182</v>
      </c>
      <c r="J4" s="1">
        <v>186</v>
      </c>
      <c r="K4" s="1">
        <v>190</v>
      </c>
      <c r="L4" s="1">
        <v>194</v>
      </c>
      <c r="O4">
        <v>156</v>
      </c>
      <c r="P4">
        <v>165.3</v>
      </c>
      <c r="Q4">
        <v>170.8</v>
      </c>
      <c r="R4">
        <v>197.5</v>
      </c>
    </row>
    <row r="6" spans="1:18" x14ac:dyDescent="0.3">
      <c r="B6" s="1" t="str">
        <f>'13'!B29</f>
        <v>y =</v>
      </c>
      <c r="C6" t="str">
        <f>'13'!C29</f>
        <v>0,606x - 37,476</v>
      </c>
    </row>
    <row r="7" spans="1:18" x14ac:dyDescent="0.3">
      <c r="B7" s="1" t="str">
        <f>'13'!B26</f>
        <v>a</v>
      </c>
      <c r="C7">
        <f>'13'!C26</f>
        <v>-37.47598638947062</v>
      </c>
    </row>
    <row r="8" spans="1:18" x14ac:dyDescent="0.3">
      <c r="B8" s="1" t="str">
        <f>'13'!B25</f>
        <v>b</v>
      </c>
      <c r="C8">
        <f>'13'!C25</f>
        <v>0.60615886763869853</v>
      </c>
    </row>
  </sheetData>
  <mergeCells count="1">
    <mergeCell ref="F2:G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8FA8-28EC-4BFE-8A74-62E19059F19F}">
  <dimension ref="A1:H10"/>
  <sheetViews>
    <sheetView workbookViewId="0">
      <selection sqref="A1:A10"/>
    </sheetView>
  </sheetViews>
  <sheetFormatPr defaultRowHeight="14.4" x14ac:dyDescent="0.3"/>
  <cols>
    <col min="1" max="1" width="53" customWidth="1"/>
  </cols>
  <sheetData>
    <row r="1" spans="1:8" ht="15.6" x14ac:dyDescent="0.3">
      <c r="A1" s="7" t="s">
        <v>113</v>
      </c>
    </row>
    <row r="2" spans="1:8" ht="15.6" x14ac:dyDescent="0.3">
      <c r="A2" s="7" t="s">
        <v>114</v>
      </c>
    </row>
    <row r="3" spans="1:8" ht="15.6" x14ac:dyDescent="0.3">
      <c r="A3" s="7"/>
      <c r="C3" s="1" t="s">
        <v>148</v>
      </c>
      <c r="D3" s="1" t="s">
        <v>149</v>
      </c>
      <c r="E3" s="1" t="s">
        <v>150</v>
      </c>
      <c r="F3" s="1"/>
      <c r="G3" s="1" t="s">
        <v>187</v>
      </c>
      <c r="H3" s="3" t="s">
        <v>188</v>
      </c>
    </row>
    <row r="4" spans="1:8" ht="15.6" x14ac:dyDescent="0.3">
      <c r="A4" s="7"/>
      <c r="C4" s="1">
        <v>25.292505024866333</v>
      </c>
      <c r="D4" s="1">
        <v>16.838694975132967</v>
      </c>
      <c r="E4" s="1">
        <v>42.131199999999296</v>
      </c>
      <c r="F4" s="1"/>
      <c r="G4" s="1">
        <f>'13'!C28</f>
        <v>0.57187682649684868</v>
      </c>
      <c r="H4" s="1">
        <f>SQRT(D4/E4)</f>
        <v>0.63219681050300558</v>
      </c>
    </row>
    <row r="5" spans="1:8" ht="15.6" x14ac:dyDescent="0.3">
      <c r="A5" s="7" t="s">
        <v>189</v>
      </c>
    </row>
    <row r="6" spans="1:8" ht="15.6" x14ac:dyDescent="0.3">
      <c r="A6" s="7" t="s">
        <v>190</v>
      </c>
    </row>
    <row r="7" spans="1:8" ht="15.6" x14ac:dyDescent="0.3">
      <c r="A7" s="7"/>
    </row>
    <row r="8" spans="1:8" ht="15.6" x14ac:dyDescent="0.3">
      <c r="A8" s="8" t="s">
        <v>191</v>
      </c>
    </row>
    <row r="9" spans="1:8" ht="15.6" x14ac:dyDescent="0.3">
      <c r="A9" s="8" t="s">
        <v>192</v>
      </c>
    </row>
    <row r="10" spans="1:8" ht="15.6" x14ac:dyDescent="0.3">
      <c r="A10" s="8" t="s">
        <v>193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5202-1CA8-4F3C-819E-5889D3DDA1C1}">
  <dimension ref="A1:N19"/>
  <sheetViews>
    <sheetView zoomScale="89" workbookViewId="0">
      <selection activeCell="A2" sqref="A2"/>
    </sheetView>
  </sheetViews>
  <sheetFormatPr defaultRowHeight="14.4" x14ac:dyDescent="0.3"/>
  <cols>
    <col min="1" max="1" width="106.6640625" bestFit="1" customWidth="1"/>
    <col min="8" max="8" width="12.21875" bestFit="1" customWidth="1"/>
  </cols>
  <sheetData>
    <row r="1" spans="1:14" ht="15.6" x14ac:dyDescent="0.3">
      <c r="A1" s="7" t="s">
        <v>30</v>
      </c>
      <c r="D1" s="4" t="s">
        <v>195</v>
      </c>
      <c r="E1" s="4"/>
    </row>
    <row r="2" spans="1:14" ht="15.6" x14ac:dyDescent="0.3">
      <c r="A2" s="7" t="s">
        <v>116</v>
      </c>
      <c r="C2" s="1" t="s">
        <v>202</v>
      </c>
      <c r="D2" s="1" cm="1">
        <f t="array" ref="D2:E6">LINEST(Вес,Рост,1,1)</f>
        <v>0.60580605985115099</v>
      </c>
      <c r="E2" s="1">
        <v>-37.50643041758795</v>
      </c>
      <c r="F2" s="1" t="str">
        <f>"a"</f>
        <v>a</v>
      </c>
      <c r="H2" t="s">
        <v>224</v>
      </c>
      <c r="I2">
        <f>AVERAGE(Рост)</f>
        <v>169.38</v>
      </c>
    </row>
    <row r="3" spans="1:14" ht="15.6" x14ac:dyDescent="0.3">
      <c r="A3" s="7" t="s">
        <v>117</v>
      </c>
      <c r="C3" s="1" t="s">
        <v>197</v>
      </c>
      <c r="D3" s="1">
        <v>6.0308506189934302E-2</v>
      </c>
      <c r="E3" s="1">
        <v>10.221912862618177</v>
      </c>
      <c r="F3" s="1" t="str">
        <f>"S_a"</f>
        <v>S_a</v>
      </c>
      <c r="H3" t="s">
        <v>225</v>
      </c>
      <c r="I3">
        <f>_xlfn.VAR.P(Рост)</f>
        <v>38.535600000000002</v>
      </c>
    </row>
    <row r="4" spans="1:14" ht="15.6" x14ac:dyDescent="0.3">
      <c r="A4" s="7" t="s">
        <v>31</v>
      </c>
      <c r="C4" s="1" t="s">
        <v>199</v>
      </c>
      <c r="D4" s="1">
        <v>0.33758083466252742</v>
      </c>
      <c r="E4" s="1">
        <v>5.2944960893908153</v>
      </c>
      <c r="F4" s="1" t="s">
        <v>69</v>
      </c>
    </row>
    <row r="5" spans="1:14" ht="15.6" x14ac:dyDescent="0.3">
      <c r="A5" s="7" t="s">
        <v>33</v>
      </c>
      <c r="C5" s="1" t="s">
        <v>200</v>
      </c>
      <c r="D5" s="1">
        <v>100.904395224024</v>
      </c>
      <c r="E5" s="1">
        <v>198</v>
      </c>
      <c r="F5" s="1" t="s">
        <v>201</v>
      </c>
    </row>
    <row r="6" spans="1:14" ht="15.6" x14ac:dyDescent="0.3">
      <c r="A6" s="7" t="s">
        <v>34</v>
      </c>
      <c r="C6" s="1" t="s">
        <v>207</v>
      </c>
      <c r="D6" s="1">
        <v>2828.5206095662061</v>
      </c>
      <c r="E6" s="1">
        <v>5550.2743904337776</v>
      </c>
      <c r="F6" s="1" t="s">
        <v>198</v>
      </c>
    </row>
    <row r="7" spans="1:14" ht="15.6" x14ac:dyDescent="0.3">
      <c r="A7" s="7" t="s">
        <v>35</v>
      </c>
    </row>
    <row r="8" spans="1:14" x14ac:dyDescent="0.3">
      <c r="C8" t="s">
        <v>84</v>
      </c>
      <c r="D8" s="6" t="s">
        <v>196</v>
      </c>
      <c r="E8" s="6">
        <f>E2</f>
        <v>-37.50643041758795</v>
      </c>
      <c r="G8" s="1" t="s">
        <v>86</v>
      </c>
      <c r="H8" s="6" t="s">
        <v>214</v>
      </c>
      <c r="I8" s="6">
        <v>180</v>
      </c>
      <c r="K8" s="1" t="s">
        <v>220</v>
      </c>
      <c r="L8" s="6">
        <f>E2 -I11*E3</f>
        <v>-57.664221239590759</v>
      </c>
      <c r="M8" s="6" t="s">
        <v>222</v>
      </c>
      <c r="N8" s="6">
        <f>E2+ I11*E3</f>
        <v>-17.348639595585144</v>
      </c>
    </row>
    <row r="9" spans="1:14" x14ac:dyDescent="0.3">
      <c r="D9" s="6" t="s">
        <v>203</v>
      </c>
      <c r="E9" s="6">
        <f>E3</f>
        <v>10.221912862618177</v>
      </c>
      <c r="G9" s="1"/>
      <c r="H9" s="6" t="s">
        <v>215</v>
      </c>
      <c r="I9" s="6">
        <f>I8*D2+E2</f>
        <v>71.538660355619228</v>
      </c>
      <c r="K9" s="1"/>
      <c r="L9" s="6">
        <f>D2 -D3*I11</f>
        <v>0.48687663158240141</v>
      </c>
      <c r="M9" s="6" t="s">
        <v>221</v>
      </c>
      <c r="N9" s="6">
        <f>D2+D3*I11</f>
        <v>0.72473548811990052</v>
      </c>
    </row>
    <row r="10" spans="1:14" x14ac:dyDescent="0.3">
      <c r="D10" s="6" t="s">
        <v>204</v>
      </c>
      <c r="E10" s="6">
        <f>D2</f>
        <v>0.60580605985115099</v>
      </c>
      <c r="G10" s="1"/>
      <c r="H10" s="6" t="s">
        <v>216</v>
      </c>
      <c r="I10" s="6">
        <v>0.95</v>
      </c>
    </row>
    <row r="11" spans="1:14" x14ac:dyDescent="0.3">
      <c r="D11" s="6" t="s">
        <v>205</v>
      </c>
      <c r="E11" s="6">
        <f>D3</f>
        <v>6.0308506189934302E-2</v>
      </c>
      <c r="G11" s="1"/>
      <c r="H11" s="6" t="s">
        <v>217</v>
      </c>
      <c r="I11" s="6">
        <f>_xlfn.T.INV.2T(1 - I10,E5)</f>
        <v>1.9720174778363073</v>
      </c>
    </row>
    <row r="12" spans="1:14" x14ac:dyDescent="0.3">
      <c r="D12" s="6" t="s">
        <v>206</v>
      </c>
      <c r="E12" s="6">
        <f>E4</f>
        <v>5.2944960893908153</v>
      </c>
      <c r="G12" s="1"/>
      <c r="H12" s="6" t="s">
        <v>218</v>
      </c>
      <c r="I12" s="6">
        <f>E4 * SQRT(1 + 1/200 + (I8-I2)^2/(200 *I3))</f>
        <v>5.3462189649711069</v>
      </c>
      <c r="K12" t="s">
        <v>87</v>
      </c>
      <c r="L12" s="5" t="s">
        <v>156</v>
      </c>
      <c r="M12" s="5">
        <v>0.05</v>
      </c>
    </row>
    <row r="13" spans="1:14" x14ac:dyDescent="0.3">
      <c r="D13" s="6" t="s">
        <v>207</v>
      </c>
      <c r="E13" s="6">
        <f>D6</f>
        <v>2828.5206095662061</v>
      </c>
      <c r="G13" s="1"/>
      <c r="H13" s="1"/>
      <c r="I13" s="1"/>
      <c r="L13" s="5" t="s">
        <v>223</v>
      </c>
      <c r="M13" s="5">
        <f>_xlfn.F.INV.RT(M12, 1, E5)</f>
        <v>3.8888529328918917</v>
      </c>
    </row>
    <row r="14" spans="1:14" x14ac:dyDescent="0.3">
      <c r="D14" s="6" t="s">
        <v>208</v>
      </c>
      <c r="E14" s="6">
        <f>E6</f>
        <v>5550.2743904337776</v>
      </c>
      <c r="G14" s="6">
        <f>I9-I11*I12</f>
        <v>60.99582311635627</v>
      </c>
      <c r="H14" s="6" t="s">
        <v>219</v>
      </c>
      <c r="I14" s="6">
        <f>I9 + I11*I12</f>
        <v>82.08149759488218</v>
      </c>
      <c r="L14" s="5" t="s">
        <v>200</v>
      </c>
      <c r="M14" s="5">
        <f>D5</f>
        <v>100.904395224024</v>
      </c>
    </row>
    <row r="15" spans="1:14" x14ac:dyDescent="0.3">
      <c r="D15" s="6" t="s">
        <v>209</v>
      </c>
      <c r="E15" s="6">
        <f>E13/200</f>
        <v>14.142603047831031</v>
      </c>
    </row>
    <row r="16" spans="1:14" x14ac:dyDescent="0.3">
      <c r="D16" s="6" t="s">
        <v>210</v>
      </c>
      <c r="E16" s="6">
        <f>E14/200</f>
        <v>27.751371952168888</v>
      </c>
    </row>
    <row r="17" spans="4:5" x14ac:dyDescent="0.3">
      <c r="D17" s="6" t="s">
        <v>211</v>
      </c>
      <c r="E17" s="6">
        <f>D4</f>
        <v>0.33758083466252742</v>
      </c>
    </row>
    <row r="18" spans="4:5" x14ac:dyDescent="0.3">
      <c r="D18" s="6" t="s">
        <v>212</v>
      </c>
      <c r="E18" s="6">
        <f>D5</f>
        <v>100.904395224024</v>
      </c>
    </row>
    <row r="19" spans="4:5" x14ac:dyDescent="0.3">
      <c r="D19" s="6" t="s">
        <v>213</v>
      </c>
      <c r="E19" s="6">
        <f>E5</f>
        <v>198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2</vt:i4>
      </vt:variant>
    </vt:vector>
  </HeadingPairs>
  <TitlesOfParts>
    <vt:vector size="19" baseType="lpstr">
      <vt:lpstr>Условие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Вес</vt:lpstr>
      <vt:lpstr>Рост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Газизов</dc:creator>
  <cp:lastModifiedBy>Газизов Егор Дмитриевич</cp:lastModifiedBy>
  <dcterms:created xsi:type="dcterms:W3CDTF">2015-06-05T18:19:34Z</dcterms:created>
  <dcterms:modified xsi:type="dcterms:W3CDTF">2026-02-21T19:16:24Z</dcterms:modified>
</cp:coreProperties>
</file>